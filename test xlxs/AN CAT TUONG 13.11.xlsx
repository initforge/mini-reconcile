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QRcode-upcode\test xlxs\"/>
    </mc:Choice>
  </mc:AlternateContent>
  <xr:revisionPtr revIDLastSave="0" documentId="13_ncr:1_{5D8800B3-4150-4972-B4E3-AECCE82E898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Config" sheetId="1" state="hidden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2" l="1"/>
  <c r="A12" i="2"/>
  <c r="E2" i="2" s="1"/>
  <c r="A11" i="2"/>
  <c r="A10" i="2"/>
  <c r="A9" i="2"/>
  <c r="A8" i="2"/>
  <c r="A7" i="2"/>
  <c r="A6" i="2"/>
  <c r="A5" i="2"/>
  <c r="A4" i="2"/>
  <c r="G2" i="2"/>
</calcChain>
</file>

<file path=xl/sharedStrings.xml><?xml version="1.0" encoding="utf-8"?>
<sst xmlns="http://schemas.openxmlformats.org/spreadsheetml/2006/main" count="284" uniqueCount="162">
  <si>
    <t>Dịch vụ</t>
  </si>
  <si>
    <t>1</t>
  </si>
  <si>
    <t>BÁO CÁO CHI TIẾT GIAO DỊCH</t>
  </si>
  <si>
    <t>STT</t>
  </si>
  <si>
    <t>Thời gian GD</t>
  </si>
  <si>
    <t>Mã giao dịch</t>
  </si>
  <si>
    <t>Chi nhánh</t>
  </si>
  <si>
    <t>Mã điểm thu</t>
  </si>
  <si>
    <t>Điểm thu</t>
  </si>
  <si>
    <t>Số hóa đơn</t>
  </si>
  <si>
    <t>Mã trừ tiền/Mã chuẩn chi</t>
  </si>
  <si>
    <t>Mã khuyến mại</t>
  </si>
  <si>
    <t>Số điện thoại</t>
  </si>
  <si>
    <t>Loại giao dịch</t>
  </si>
  <si>
    <t>Kênh thanh toán KTS</t>
  </si>
  <si>
    <t>Số tiền trước KM</t>
  </si>
  <si>
    <t>Số tiền sau KM</t>
  </si>
  <si>
    <t>Loại thẻ/Tài khoản</t>
  </si>
  <si>
    <t>Nguồn tiền</t>
  </si>
  <si>
    <t>Kênh thanh toán</t>
  </si>
  <si>
    <t>Trạng thái</t>
  </si>
  <si>
    <t>13/11/2025 16:49:00</t>
  </si>
  <si>
    <t>AN CÁT TƯỜNG</t>
  </si>
  <si>
    <t>NVAUDIO1</t>
  </si>
  <si>
    <t>ANCATTUONG66PKV01</t>
  </si>
  <si>
    <t>20409281211739136</t>
  </si>
  <si>
    <t/>
  </si>
  <si>
    <t>094xxxx515</t>
  </si>
  <si>
    <t>QR</t>
  </si>
  <si>
    <t>2</t>
  </si>
  <si>
    <t>CTT</t>
  </si>
  <si>
    <t>3</t>
  </si>
  <si>
    <t>SmartPOS</t>
  </si>
  <si>
    <t>4</t>
  </si>
  <si>
    <t>PhonePOS</t>
  </si>
  <si>
    <t>Thành công</t>
  </si>
  <si>
    <t>Không thành công</t>
  </si>
  <si>
    <t>Nghi vấn</t>
  </si>
  <si>
    <t>Hủy không thành công</t>
  </si>
  <si>
    <t>5</t>
  </si>
  <si>
    <t>Hủy thành công</t>
  </si>
  <si>
    <t>6</t>
  </si>
  <si>
    <t>00</t>
  </si>
  <si>
    <t>Đang thực hiện</t>
  </si>
  <si>
    <t>8</t>
  </si>
  <si>
    <t>Hết hạn thanh toán</t>
  </si>
  <si>
    <t>01</t>
  </si>
  <si>
    <t>13/11/2025 15:07:08</t>
  </si>
  <si>
    <t>Tài khoản nội địa</t>
  </si>
  <si>
    <t>02</t>
  </si>
  <si>
    <t>Visa</t>
  </si>
  <si>
    <t>03</t>
  </si>
  <si>
    <t>Thẻ nội địa</t>
  </si>
  <si>
    <t>20408880581979136</t>
  </si>
  <si>
    <t>04</t>
  </si>
  <si>
    <t>Unionpay</t>
  </si>
  <si>
    <t>05</t>
  </si>
  <si>
    <t>Master</t>
  </si>
  <si>
    <t>06</t>
  </si>
  <si>
    <t>Jcb</t>
  </si>
  <si>
    <t>07</t>
  </si>
  <si>
    <t>098xxxx812</t>
  </si>
  <si>
    <t>Tài khoản ví</t>
  </si>
  <si>
    <t>09</t>
  </si>
  <si>
    <t>Thẻ Amex</t>
  </si>
  <si>
    <t>10</t>
  </si>
  <si>
    <t>Thẻ Diners club</t>
  </si>
  <si>
    <t>12</t>
  </si>
  <si>
    <t>Thẻ VNPAY</t>
  </si>
  <si>
    <t>13</t>
  </si>
  <si>
    <t>Ví trả sau</t>
  </si>
  <si>
    <t>ACC</t>
  </si>
  <si>
    <t>VISA</t>
  </si>
  <si>
    <t>ATM</t>
  </si>
  <si>
    <t>UPI</t>
  </si>
  <si>
    <t>MASTERCARD</t>
  </si>
  <si>
    <t>Mastercard</t>
  </si>
  <si>
    <t>JCB</t>
  </si>
  <si>
    <t>EW</t>
  </si>
  <si>
    <t>VNPAY_CARD</t>
  </si>
  <si>
    <t>EW_PAY_LATER</t>
  </si>
  <si>
    <t>QR-Cổng</t>
  </si>
  <si>
    <t>QR-Billing</t>
  </si>
  <si>
    <t>QR-Sản phẩm</t>
  </si>
  <si>
    <t>QR-Offline</t>
  </si>
  <si>
    <t>QR-Customer</t>
  </si>
  <si>
    <t>Thanh toán qua web</t>
  </si>
  <si>
    <t>Thanh toán qua token</t>
  </si>
  <si>
    <t>Thanh toán qua Qrcode</t>
  </si>
  <si>
    <t>Trạng thái trả góp của CTT</t>
  </si>
  <si>
    <t>Chuyển đổi thành công</t>
  </si>
  <si>
    <t>Chờ chuyển đổi</t>
  </si>
  <si>
    <t>13/11/2025 15:01:26</t>
  </si>
  <si>
    <t>Đã gửi Bank chuyển đổi</t>
  </si>
  <si>
    <t>Chuyển đổi không thành công</t>
  </si>
  <si>
    <t>Huỷ chuyển đổi</t>
  </si>
  <si>
    <t>Chưa xác định</t>
  </si>
  <si>
    <t>20408858244434944</t>
  </si>
  <si>
    <t>Giao dịch thường</t>
  </si>
  <si>
    <t>Giao dịch hoàn</t>
  </si>
  <si>
    <t>086xxxx650</t>
  </si>
  <si>
    <t>Giao dịch trả góp</t>
  </si>
  <si>
    <t>Giao dịch Định kỳ</t>
  </si>
  <si>
    <t>Giao dịch Authorize</t>
  </si>
  <si>
    <t>Giao dịch Capture</t>
  </si>
  <si>
    <t>08</t>
  </si>
  <si>
    <t>BPSP</t>
  </si>
  <si>
    <t>7</t>
  </si>
  <si>
    <t>MOTO</t>
  </si>
  <si>
    <t>SALE</t>
  </si>
  <si>
    <t>ODA</t>
  </si>
  <si>
    <t>Offline sale</t>
  </si>
  <si>
    <t>Thẻ nội địa/tài khoản ngân hàng</t>
  </si>
  <si>
    <t>Thẻ Quốc tế phát hành trong nước</t>
  </si>
  <si>
    <t>Thẻ Quốc tế phát hành nước ngoài</t>
  </si>
  <si>
    <t>Ví điện tử</t>
  </si>
  <si>
    <t>Digital Pay - Thẻ nội địa</t>
  </si>
  <si>
    <t>Digital Pay - Thẻ Quốc tế phát hành trong nước</t>
  </si>
  <si>
    <t>Digital Pay - Thẻ Quốc tế phát hành nước ngoài</t>
  </si>
  <si>
    <t>13/11/2025 11:38:27</t>
  </si>
  <si>
    <t>Thẻ quốc tế phát hành nước ngoài</t>
  </si>
  <si>
    <t>Thẻ quốc tế phát hành trong nước</t>
  </si>
  <si>
    <t>Thẻ ghi nợ nội địa</t>
  </si>
  <si>
    <t>11</t>
  </si>
  <si>
    <t>Thẻ tín dụng nội địa</t>
  </si>
  <si>
    <t>20408060384070656</t>
  </si>
  <si>
    <t>038xxxx586</t>
  </si>
  <si>
    <t>VNPAY</t>
  </si>
  <si>
    <t>APPLE PAY</t>
  </si>
  <si>
    <t>GOOGLE PAY</t>
  </si>
  <si>
    <t>Trạng thái trả góp SmartPOS</t>
  </si>
  <si>
    <t>0</t>
  </si>
  <si>
    <t>Khởi tạo</t>
  </si>
  <si>
    <t>Đã gửi bank chuyển đổi</t>
  </si>
  <si>
    <t>Đang xử lý hủy</t>
  </si>
  <si>
    <t>70</t>
  </si>
  <si>
    <t>71</t>
  </si>
  <si>
    <t>Hủy chuyển đổi</t>
  </si>
  <si>
    <t>72</t>
  </si>
  <si>
    <t>73</t>
  </si>
  <si>
    <t>13/11/2025 11:34:08</t>
  </si>
  <si>
    <t>20408042022128640</t>
  </si>
  <si>
    <t>097xxxx676</t>
  </si>
  <si>
    <t>13/11/2025 09:31:15</t>
  </si>
  <si>
    <t>20407559445228544</t>
  </si>
  <si>
    <t>096xxxx213</t>
  </si>
  <si>
    <t>13/11/2025 08:55:48</t>
  </si>
  <si>
    <t>20407419168771072</t>
  </si>
  <si>
    <t>052xxxx695</t>
  </si>
  <si>
    <t>13/11/2025 08:26:11</t>
  </si>
  <si>
    <t>20407303108119552</t>
  </si>
  <si>
    <t>097xxxx113</t>
  </si>
  <si>
    <t>13/11/2025 08:24:06</t>
  </si>
  <si>
    <t>MAU11</t>
  </si>
  <si>
    <t>20407295176354816</t>
  </si>
  <si>
    <t>035xxxx530</t>
  </si>
  <si>
    <t>13/11/2025 08:14:04</t>
  </si>
  <si>
    <t>MUA12</t>
  </si>
  <si>
    <t>20407254957304832</t>
  </si>
  <si>
    <t>052xxxx613</t>
  </si>
  <si>
    <t>Tổng số giao dịch:</t>
  </si>
  <si>
    <t>Tổng giá trị giao dịch: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</si>
</sst>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4"/>
      <color rgb="FF000000"/>
      <name val="Times New Roman"/>
    </font>
    <font>
      <sz val="14"/>
      <color rgb="FF000000"/>
      <name val="Times New Roman"/>
    </font>
    <font>
      <b/>
      <sz val="14"/>
      <color rgb="FFFFFFFF"/>
      <name val="Times New Roman"/>
    </font>
    <font>
      <b/>
      <sz val="12"/>
      <color rgb="FF110102"/>
      <name val="Times New Roman"/>
    </font>
    <font>
      <sz val="12"/>
      <color rgb="FF110102"/>
      <name val="Times New Roman"/>
    </font>
    <font>
      <b/>
      <sz val="11"/>
      <color rgb="FF1101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EB4B3"/>
      </patternFill>
    </fill>
    <fill>
      <patternFill patternType="solid">
        <fgColor rgb="FF00B05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Z21"/>
  <sheetViews>
    <sheetView workbookViewId="0"/>
  </sheetViews>
  <sheetFormatPr defaultRowHeight="14.4" x14ac:dyDescent="0.3"/>
  <cols>
    <col min="1" max="26" width="20" customWidth="1"/>
  </cols>
  <sheetData>
    <row r="1" spans="1:26" ht="22.05" customHeight="1" x14ac:dyDescent="0.3">
      <c r="A1" s="9" t="s">
        <v>0</v>
      </c>
      <c r="B1" s="10"/>
      <c r="D1" s="9" t="s">
        <v>20</v>
      </c>
      <c r="E1" s="10"/>
      <c r="G1" s="9" t="s">
        <v>17</v>
      </c>
      <c r="H1" s="10"/>
      <c r="J1" s="9" t="s">
        <v>19</v>
      </c>
      <c r="K1" s="10"/>
      <c r="M1" s="9" t="s">
        <v>89</v>
      </c>
      <c r="N1" s="10"/>
      <c r="P1" s="9" t="s">
        <v>13</v>
      </c>
      <c r="Q1" s="10"/>
      <c r="S1" s="9" t="s">
        <v>18</v>
      </c>
      <c r="T1" s="10"/>
      <c r="V1" s="9" t="s">
        <v>14</v>
      </c>
      <c r="W1" s="10"/>
      <c r="Y1" s="9" t="s">
        <v>130</v>
      </c>
      <c r="Z1" s="10"/>
    </row>
    <row r="2" spans="1:26" ht="22.05" customHeight="1" x14ac:dyDescent="0.3">
      <c r="A2" s="5" t="s">
        <v>1</v>
      </c>
      <c r="B2" s="5" t="s">
        <v>28</v>
      </c>
      <c r="D2" s="5" t="s">
        <v>1</v>
      </c>
      <c r="E2" s="5" t="s">
        <v>35</v>
      </c>
      <c r="G2" s="5" t="s">
        <v>46</v>
      </c>
      <c r="H2" s="5" t="s">
        <v>48</v>
      </c>
      <c r="J2" s="5" t="s">
        <v>49</v>
      </c>
      <c r="K2" s="5" t="s">
        <v>81</v>
      </c>
      <c r="M2" s="5" t="s">
        <v>42</v>
      </c>
      <c r="N2" s="5" t="s">
        <v>90</v>
      </c>
      <c r="P2" s="5" t="s">
        <v>46</v>
      </c>
      <c r="Q2" s="5" t="s">
        <v>98</v>
      </c>
      <c r="S2" s="5" t="s">
        <v>46</v>
      </c>
      <c r="T2" s="5" t="s">
        <v>112</v>
      </c>
      <c r="V2" s="5" t="s">
        <v>1</v>
      </c>
      <c r="W2" s="5" t="s">
        <v>127</v>
      </c>
      <c r="Y2" s="5" t="s">
        <v>131</v>
      </c>
      <c r="Z2" s="5" t="s">
        <v>132</v>
      </c>
    </row>
    <row r="3" spans="1:26" ht="22.05" customHeight="1" x14ac:dyDescent="0.3">
      <c r="A3" s="5" t="s">
        <v>29</v>
      </c>
      <c r="B3" s="5" t="s">
        <v>30</v>
      </c>
      <c r="D3" s="5" t="s">
        <v>29</v>
      </c>
      <c r="E3" s="5" t="s">
        <v>36</v>
      </c>
      <c r="G3" s="5" t="s">
        <v>49</v>
      </c>
      <c r="H3" s="5" t="s">
        <v>50</v>
      </c>
      <c r="J3" s="5" t="s">
        <v>54</v>
      </c>
      <c r="K3" s="5" t="s">
        <v>82</v>
      </c>
      <c r="M3" s="5" t="s">
        <v>46</v>
      </c>
      <c r="N3" s="5" t="s">
        <v>91</v>
      </c>
      <c r="P3" s="5" t="s">
        <v>49</v>
      </c>
      <c r="Q3" s="5" t="s">
        <v>99</v>
      </c>
      <c r="S3" s="5" t="s">
        <v>49</v>
      </c>
      <c r="T3" s="5" t="s">
        <v>113</v>
      </c>
      <c r="V3" s="5" t="s">
        <v>29</v>
      </c>
      <c r="W3" s="5" t="s">
        <v>128</v>
      </c>
      <c r="Y3" s="5" t="s">
        <v>1</v>
      </c>
      <c r="Z3" s="5" t="s">
        <v>91</v>
      </c>
    </row>
    <row r="4" spans="1:26" ht="22.05" customHeight="1" x14ac:dyDescent="0.3">
      <c r="A4" s="5" t="s">
        <v>31</v>
      </c>
      <c r="B4" s="5" t="s">
        <v>32</v>
      </c>
      <c r="D4" s="5" t="s">
        <v>31</v>
      </c>
      <c r="E4" s="5" t="s">
        <v>37</v>
      </c>
      <c r="G4" s="5" t="s">
        <v>51</v>
      </c>
      <c r="H4" s="5" t="s">
        <v>52</v>
      </c>
      <c r="J4" s="5" t="s">
        <v>56</v>
      </c>
      <c r="K4" s="5" t="s">
        <v>83</v>
      </c>
      <c r="M4" s="5" t="s">
        <v>49</v>
      </c>
      <c r="N4" s="5" t="s">
        <v>93</v>
      </c>
      <c r="P4" s="5" t="s">
        <v>51</v>
      </c>
      <c r="Q4" s="5" t="s">
        <v>99</v>
      </c>
      <c r="S4" s="5" t="s">
        <v>51</v>
      </c>
      <c r="T4" s="5" t="s">
        <v>114</v>
      </c>
      <c r="V4" s="5" t="s">
        <v>31</v>
      </c>
      <c r="W4" s="5" t="s">
        <v>129</v>
      </c>
      <c r="Y4" s="5" t="s">
        <v>29</v>
      </c>
      <c r="Z4" s="5" t="s">
        <v>133</v>
      </c>
    </row>
    <row r="5" spans="1:26" ht="22.05" customHeight="1" x14ac:dyDescent="0.3">
      <c r="A5" s="5" t="s">
        <v>33</v>
      </c>
      <c r="B5" s="5" t="s">
        <v>34</v>
      </c>
      <c r="D5" s="5" t="s">
        <v>33</v>
      </c>
      <c r="E5" s="5" t="s">
        <v>38</v>
      </c>
      <c r="G5" s="5" t="s">
        <v>54</v>
      </c>
      <c r="H5" s="5" t="s">
        <v>55</v>
      </c>
      <c r="J5" s="5" t="s">
        <v>58</v>
      </c>
      <c r="K5" s="5" t="s">
        <v>84</v>
      </c>
      <c r="M5" s="5" t="s">
        <v>51</v>
      </c>
      <c r="N5" s="5" t="s">
        <v>94</v>
      </c>
      <c r="P5" s="5" t="s">
        <v>54</v>
      </c>
      <c r="Q5" s="5" t="s">
        <v>101</v>
      </c>
      <c r="S5" s="5" t="s">
        <v>54</v>
      </c>
      <c r="T5" s="5" t="s">
        <v>115</v>
      </c>
      <c r="Y5" s="5" t="s">
        <v>31</v>
      </c>
      <c r="Z5" s="5" t="s">
        <v>134</v>
      </c>
    </row>
    <row r="6" spans="1:26" ht="22.05" customHeight="1" x14ac:dyDescent="0.3">
      <c r="D6" s="5" t="s">
        <v>39</v>
      </c>
      <c r="E6" s="5" t="s">
        <v>40</v>
      </c>
      <c r="G6" s="5" t="s">
        <v>56</v>
      </c>
      <c r="H6" s="5" t="s">
        <v>57</v>
      </c>
      <c r="J6" s="5" t="s">
        <v>63</v>
      </c>
      <c r="K6" s="5" t="s">
        <v>85</v>
      </c>
      <c r="M6" s="5" t="s">
        <v>54</v>
      </c>
      <c r="N6" s="5" t="s">
        <v>95</v>
      </c>
      <c r="P6" s="5" t="s">
        <v>56</v>
      </c>
      <c r="Q6" s="5" t="s">
        <v>102</v>
      </c>
      <c r="S6" s="5" t="s">
        <v>56</v>
      </c>
      <c r="T6" s="5" t="s">
        <v>116</v>
      </c>
      <c r="Y6" s="5" t="s">
        <v>33</v>
      </c>
      <c r="Z6" s="5" t="s">
        <v>134</v>
      </c>
    </row>
    <row r="7" spans="1:26" ht="22.05" customHeight="1" x14ac:dyDescent="0.3">
      <c r="D7" s="5" t="s">
        <v>41</v>
      </c>
      <c r="E7" s="5" t="s">
        <v>43</v>
      </c>
      <c r="G7" s="5" t="s">
        <v>58</v>
      </c>
      <c r="H7" s="5" t="s">
        <v>59</v>
      </c>
      <c r="J7" s="5" t="s">
        <v>1</v>
      </c>
      <c r="K7" s="5" t="s">
        <v>86</v>
      </c>
      <c r="M7" s="5" t="s">
        <v>56</v>
      </c>
      <c r="N7" s="5" t="s">
        <v>96</v>
      </c>
      <c r="P7" s="5" t="s">
        <v>58</v>
      </c>
      <c r="Q7" s="5" t="s">
        <v>103</v>
      </c>
      <c r="S7" s="5" t="s">
        <v>58</v>
      </c>
      <c r="T7" s="5" t="s">
        <v>117</v>
      </c>
      <c r="Y7" s="5" t="s">
        <v>41</v>
      </c>
      <c r="Z7" s="5" t="s">
        <v>90</v>
      </c>
    </row>
    <row r="8" spans="1:26" ht="22.05" customHeight="1" x14ac:dyDescent="0.3">
      <c r="D8" s="5" t="s">
        <v>44</v>
      </c>
      <c r="E8" s="5" t="s">
        <v>45</v>
      </c>
      <c r="G8" s="5" t="s">
        <v>60</v>
      </c>
      <c r="H8" s="5" t="s">
        <v>62</v>
      </c>
      <c r="J8" s="5" t="s">
        <v>29</v>
      </c>
      <c r="K8" s="5" t="s">
        <v>87</v>
      </c>
      <c r="P8" s="5" t="s">
        <v>60</v>
      </c>
      <c r="Q8" s="5" t="s">
        <v>104</v>
      </c>
      <c r="S8" s="5" t="s">
        <v>60</v>
      </c>
      <c r="T8" s="5" t="s">
        <v>118</v>
      </c>
      <c r="Y8" s="5" t="s">
        <v>107</v>
      </c>
      <c r="Z8" s="5" t="s">
        <v>94</v>
      </c>
    </row>
    <row r="9" spans="1:26" ht="22.05" customHeight="1" x14ac:dyDescent="0.3">
      <c r="G9" s="5" t="s">
        <v>63</v>
      </c>
      <c r="H9" s="5" t="s">
        <v>64</v>
      </c>
      <c r="J9" s="5" t="s">
        <v>31</v>
      </c>
      <c r="K9" s="5" t="s">
        <v>88</v>
      </c>
      <c r="P9" s="5" t="s">
        <v>105</v>
      </c>
      <c r="Q9" s="5" t="s">
        <v>106</v>
      </c>
      <c r="S9" s="5" t="s">
        <v>105</v>
      </c>
      <c r="T9" s="5" t="s">
        <v>120</v>
      </c>
      <c r="Y9" s="5" t="s">
        <v>135</v>
      </c>
      <c r="Z9" s="5" t="s">
        <v>38</v>
      </c>
    </row>
    <row r="10" spans="1:26" ht="22.05" customHeight="1" x14ac:dyDescent="0.3">
      <c r="G10" s="5" t="s">
        <v>65</v>
      </c>
      <c r="H10" s="5" t="s">
        <v>66</v>
      </c>
      <c r="P10" s="5" t="s">
        <v>1</v>
      </c>
      <c r="Q10" s="5" t="s">
        <v>98</v>
      </c>
      <c r="S10" s="5" t="s">
        <v>63</v>
      </c>
      <c r="T10" s="5" t="s">
        <v>121</v>
      </c>
      <c r="Y10" s="5" t="s">
        <v>136</v>
      </c>
      <c r="Z10" s="5" t="s">
        <v>137</v>
      </c>
    </row>
    <row r="11" spans="1:26" ht="22.05" customHeight="1" x14ac:dyDescent="0.3">
      <c r="G11" s="5" t="s">
        <v>67</v>
      </c>
      <c r="H11" s="5" t="s">
        <v>68</v>
      </c>
      <c r="P11" s="5" t="s">
        <v>29</v>
      </c>
      <c r="Q11" s="5" t="s">
        <v>99</v>
      </c>
      <c r="S11" s="5" t="s">
        <v>65</v>
      </c>
      <c r="T11" s="5" t="s">
        <v>122</v>
      </c>
      <c r="Y11" s="5" t="s">
        <v>138</v>
      </c>
      <c r="Z11" s="5" t="s">
        <v>137</v>
      </c>
    </row>
    <row r="12" spans="1:26" ht="22.05" customHeight="1" x14ac:dyDescent="0.3">
      <c r="G12" s="5" t="s">
        <v>69</v>
      </c>
      <c r="H12" s="5" t="s">
        <v>70</v>
      </c>
      <c r="P12" s="5" t="s">
        <v>31</v>
      </c>
      <c r="Q12" s="5" t="s">
        <v>99</v>
      </c>
      <c r="S12" s="5" t="s">
        <v>123</v>
      </c>
      <c r="T12" s="5" t="s">
        <v>124</v>
      </c>
      <c r="Y12" s="5" t="s">
        <v>139</v>
      </c>
      <c r="Z12" s="5" t="s">
        <v>137</v>
      </c>
    </row>
    <row r="13" spans="1:26" ht="22.05" customHeight="1" x14ac:dyDescent="0.3">
      <c r="G13" s="5" t="s">
        <v>71</v>
      </c>
      <c r="H13" s="5" t="s">
        <v>48</v>
      </c>
      <c r="P13" s="5" t="s">
        <v>33</v>
      </c>
      <c r="Q13" s="5" t="s">
        <v>101</v>
      </c>
      <c r="Y13" s="5" t="s">
        <v>39</v>
      </c>
      <c r="Z13" s="5" t="s">
        <v>96</v>
      </c>
    </row>
    <row r="14" spans="1:26" ht="22.05" customHeight="1" x14ac:dyDescent="0.3">
      <c r="G14" s="5" t="s">
        <v>72</v>
      </c>
      <c r="H14" s="5" t="s">
        <v>50</v>
      </c>
      <c r="P14" s="5" t="s">
        <v>39</v>
      </c>
      <c r="Q14" s="5" t="s">
        <v>102</v>
      </c>
    </row>
    <row r="15" spans="1:26" ht="22.05" customHeight="1" x14ac:dyDescent="0.3">
      <c r="G15" s="5" t="s">
        <v>73</v>
      </c>
      <c r="H15" s="5" t="s">
        <v>52</v>
      </c>
      <c r="P15" s="5" t="s">
        <v>41</v>
      </c>
      <c r="Q15" s="5" t="s">
        <v>103</v>
      </c>
    </row>
    <row r="16" spans="1:26" ht="22.05" customHeight="1" x14ac:dyDescent="0.3">
      <c r="G16" s="5" t="s">
        <v>74</v>
      </c>
      <c r="H16" s="5" t="s">
        <v>55</v>
      </c>
      <c r="P16" s="5" t="s">
        <v>107</v>
      </c>
      <c r="Q16" s="5" t="s">
        <v>104</v>
      </c>
    </row>
    <row r="17" spans="7:17" ht="22.05" customHeight="1" x14ac:dyDescent="0.3">
      <c r="G17" s="5" t="s">
        <v>75</v>
      </c>
      <c r="H17" s="5" t="s">
        <v>76</v>
      </c>
      <c r="P17" s="5" t="s">
        <v>44</v>
      </c>
      <c r="Q17" s="5" t="s">
        <v>106</v>
      </c>
    </row>
    <row r="18" spans="7:17" ht="22.05" customHeight="1" x14ac:dyDescent="0.3">
      <c r="G18" s="5" t="s">
        <v>77</v>
      </c>
      <c r="H18" s="5" t="s">
        <v>59</v>
      </c>
      <c r="P18" s="5" t="s">
        <v>108</v>
      </c>
      <c r="Q18" s="5" t="s">
        <v>108</v>
      </c>
    </row>
    <row r="19" spans="7:17" ht="22.05" customHeight="1" x14ac:dyDescent="0.3">
      <c r="G19" s="5" t="s">
        <v>78</v>
      </c>
      <c r="H19" s="5" t="s">
        <v>62</v>
      </c>
      <c r="P19" s="5" t="s">
        <v>109</v>
      </c>
      <c r="Q19" s="5" t="s">
        <v>109</v>
      </c>
    </row>
    <row r="20" spans="7:17" ht="22.05" customHeight="1" x14ac:dyDescent="0.3">
      <c r="G20" s="5" t="s">
        <v>79</v>
      </c>
      <c r="H20" s="5" t="s">
        <v>68</v>
      </c>
      <c r="P20" s="5" t="s">
        <v>110</v>
      </c>
      <c r="Q20" s="5" t="s">
        <v>111</v>
      </c>
    </row>
    <row r="21" spans="7:17" ht="22.05" customHeight="1" x14ac:dyDescent="0.3">
      <c r="G21" s="5" t="s">
        <v>80</v>
      </c>
      <c r="H21" s="5" t="s">
        <v>70</v>
      </c>
    </row>
  </sheetData>
  <mergeCells count="9">
    <mergeCell ref="Y1:Z1"/>
    <mergeCell ref="G1:H1"/>
    <mergeCell ref="J1:K1"/>
    <mergeCell ref="A1:B1"/>
    <mergeCell ref="D1:E1"/>
    <mergeCell ref="S1:T1"/>
    <mergeCell ref="V1:W1"/>
    <mergeCell ref="M1:N1"/>
    <mergeCell ref="P1:Q1"/>
  </mergeCells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L13"/>
  <sheetViews>
    <sheetView tabSelected="1" topLeftCell="F1" workbookViewId="0">
      <selection activeCell="E4" sqref="E4"/>
    </sheetView>
  </sheetViews>
  <sheetFormatPr defaultRowHeight="14.4" x14ac:dyDescent="0.3"/>
  <cols>
    <col min="1" max="1" width="10" customWidth="1"/>
    <col min="2" max="8" width="30" customWidth="1"/>
    <col min="9" max="9" width="20" customWidth="1"/>
    <col min="10" max="34" width="30" customWidth="1"/>
  </cols>
  <sheetData>
    <row r="1" spans="1:12" ht="30" customHeight="1" x14ac:dyDescent="0.3">
      <c r="A1" s="11" t="s">
        <v>2</v>
      </c>
      <c r="B1" s="10"/>
      <c r="C1" s="10"/>
      <c r="D1" s="10"/>
    </row>
    <row r="2" spans="1:12" ht="22.05" customHeight="1" x14ac:dyDescent="0.3">
      <c r="D2" s="6" t="s">
        <v>160</v>
      </c>
      <c r="E2" s="7">
        <f>COUNT(A4:A16)</f>
        <v>10</v>
      </c>
      <c r="F2" s="6" t="s">
        <v>161</v>
      </c>
      <c r="G2" s="8">
        <f>SUM(Q14:Q16)</f>
        <v>0</v>
      </c>
    </row>
    <row r="3" spans="1:12" ht="19.95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15</v>
      </c>
      <c r="L3" s="1" t="s">
        <v>16</v>
      </c>
    </row>
    <row r="4" spans="1:12" ht="15.6" x14ac:dyDescent="0.3">
      <c r="A4" s="2">
        <f>ROW()-ROW(A3)</f>
        <v>1</v>
      </c>
      <c r="B4" s="3" t="s">
        <v>21</v>
      </c>
      <c r="C4" s="3">
        <v>800300617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25</v>
      </c>
      <c r="I4" s="3" t="s">
        <v>26</v>
      </c>
      <c r="J4" s="3" t="s">
        <v>27</v>
      </c>
      <c r="K4" s="4">
        <v>10010000</v>
      </c>
      <c r="L4" s="4">
        <v>10010000</v>
      </c>
    </row>
    <row r="5" spans="1:12" ht="15.6" x14ac:dyDescent="0.3">
      <c r="A5" s="2">
        <f>ROW()-ROW(A3)</f>
        <v>2</v>
      </c>
      <c r="B5" s="3" t="s">
        <v>47</v>
      </c>
      <c r="C5" s="3">
        <v>800230011</v>
      </c>
      <c r="D5" s="3" t="s">
        <v>22</v>
      </c>
      <c r="E5" s="3" t="s">
        <v>23</v>
      </c>
      <c r="F5" s="3" t="s">
        <v>24</v>
      </c>
      <c r="G5" s="3" t="s">
        <v>53</v>
      </c>
      <c r="H5" s="3" t="s">
        <v>53</v>
      </c>
      <c r="I5" s="3" t="s">
        <v>26</v>
      </c>
      <c r="J5" s="3" t="s">
        <v>61</v>
      </c>
      <c r="K5" s="4">
        <v>12524000</v>
      </c>
      <c r="L5" s="4">
        <v>12524000</v>
      </c>
    </row>
    <row r="6" spans="1:12" ht="15.6" x14ac:dyDescent="0.3">
      <c r="A6" s="2">
        <f>ROW()-ROW(A3)</f>
        <v>3</v>
      </c>
      <c r="B6" s="3" t="s">
        <v>92</v>
      </c>
      <c r="C6" s="3">
        <v>800226005</v>
      </c>
      <c r="D6" s="3" t="s">
        <v>22</v>
      </c>
      <c r="E6" s="3" t="s">
        <v>23</v>
      </c>
      <c r="F6" s="3" t="s">
        <v>24</v>
      </c>
      <c r="G6" s="3" t="s">
        <v>97</v>
      </c>
      <c r="H6" s="3" t="s">
        <v>97</v>
      </c>
      <c r="I6" s="3" t="s">
        <v>26</v>
      </c>
      <c r="J6" s="3" t="s">
        <v>100</v>
      </c>
      <c r="K6" s="4">
        <v>12508000</v>
      </c>
      <c r="L6" s="4">
        <v>12508000</v>
      </c>
    </row>
    <row r="7" spans="1:12" ht="15.6" x14ac:dyDescent="0.3">
      <c r="A7" s="2">
        <f>ROW()-ROW(A3)</f>
        <v>4</v>
      </c>
      <c r="B7" s="3" t="s">
        <v>119</v>
      </c>
      <c r="C7" s="3">
        <v>800068181</v>
      </c>
      <c r="D7" s="3" t="s">
        <v>22</v>
      </c>
      <c r="E7" s="3" t="s">
        <v>23</v>
      </c>
      <c r="F7" s="3" t="s">
        <v>24</v>
      </c>
      <c r="G7" s="3" t="s">
        <v>125</v>
      </c>
      <c r="H7" s="3" t="s">
        <v>125</v>
      </c>
      <c r="I7" s="3" t="s">
        <v>26</v>
      </c>
      <c r="J7" s="3" t="s">
        <v>126</v>
      </c>
      <c r="K7" s="4">
        <v>12505000</v>
      </c>
      <c r="L7" s="4">
        <v>12505000</v>
      </c>
    </row>
    <row r="8" spans="1:12" ht="15.6" x14ac:dyDescent="0.3">
      <c r="A8" s="2">
        <f>ROW()-ROW(A3)</f>
        <v>5</v>
      </c>
      <c r="B8" s="3" t="s">
        <v>140</v>
      </c>
      <c r="C8" s="3">
        <v>800063937</v>
      </c>
      <c r="D8" s="3" t="s">
        <v>22</v>
      </c>
      <c r="E8" s="3" t="s">
        <v>23</v>
      </c>
      <c r="F8" s="3" t="s">
        <v>24</v>
      </c>
      <c r="G8" s="3" t="s">
        <v>141</v>
      </c>
      <c r="H8" s="3" t="s">
        <v>141</v>
      </c>
      <c r="I8" s="3" t="s">
        <v>26</v>
      </c>
      <c r="J8" s="3" t="s">
        <v>142</v>
      </c>
      <c r="K8" s="4">
        <v>10015000</v>
      </c>
      <c r="L8" s="4">
        <v>10015000</v>
      </c>
    </row>
    <row r="9" spans="1:12" ht="15.6" x14ac:dyDescent="0.3">
      <c r="A9" s="2">
        <f>ROW()-ROW(A3)</f>
        <v>6</v>
      </c>
      <c r="B9" s="3" t="s">
        <v>143</v>
      </c>
      <c r="C9" s="3">
        <v>799966868</v>
      </c>
      <c r="D9" s="3" t="s">
        <v>22</v>
      </c>
      <c r="E9" s="3" t="s">
        <v>23</v>
      </c>
      <c r="F9" s="3" t="s">
        <v>24</v>
      </c>
      <c r="G9" s="3" t="s">
        <v>144</v>
      </c>
      <c r="H9" s="3" t="s">
        <v>144</v>
      </c>
      <c r="I9" s="3" t="s">
        <v>26</v>
      </c>
      <c r="J9" s="3" t="s">
        <v>145</v>
      </c>
      <c r="K9" s="4">
        <v>12515000</v>
      </c>
      <c r="L9" s="4">
        <v>12515000</v>
      </c>
    </row>
    <row r="10" spans="1:12" ht="15.6" x14ac:dyDescent="0.3">
      <c r="A10" s="2">
        <f>ROW()-ROW(A3)</f>
        <v>7</v>
      </c>
      <c r="B10" s="3" t="s">
        <v>146</v>
      </c>
      <c r="C10" s="3">
        <v>799938970</v>
      </c>
      <c r="D10" s="3" t="s">
        <v>22</v>
      </c>
      <c r="E10" s="3" t="s">
        <v>23</v>
      </c>
      <c r="F10" s="3" t="s">
        <v>24</v>
      </c>
      <c r="G10" s="3" t="s">
        <v>147</v>
      </c>
      <c r="H10" s="3" t="s">
        <v>147</v>
      </c>
      <c r="I10" s="3" t="s">
        <v>26</v>
      </c>
      <c r="J10" s="3" t="s">
        <v>148</v>
      </c>
      <c r="K10" s="4">
        <v>26679000</v>
      </c>
      <c r="L10" s="4">
        <v>26679000</v>
      </c>
    </row>
    <row r="11" spans="1:12" ht="15.6" x14ac:dyDescent="0.3">
      <c r="A11" s="2">
        <f>ROW()-ROW(A3)</f>
        <v>8</v>
      </c>
      <c r="B11" s="3" t="s">
        <v>149</v>
      </c>
      <c r="C11" s="3">
        <v>799914452</v>
      </c>
      <c r="D11" s="3" t="s">
        <v>22</v>
      </c>
      <c r="E11" s="3" t="s">
        <v>23</v>
      </c>
      <c r="F11" s="3" t="s">
        <v>24</v>
      </c>
      <c r="G11" s="3" t="s">
        <v>150</v>
      </c>
      <c r="H11" s="3" t="s">
        <v>150</v>
      </c>
      <c r="I11" s="3" t="s">
        <v>26</v>
      </c>
      <c r="J11" s="3" t="s">
        <v>151</v>
      </c>
      <c r="K11" s="4">
        <v>9273000</v>
      </c>
      <c r="L11" s="4">
        <v>9273000</v>
      </c>
    </row>
    <row r="12" spans="1:12" ht="15.6" x14ac:dyDescent="0.3">
      <c r="A12" s="2">
        <f>ROW()-ROW(A3)</f>
        <v>9</v>
      </c>
      <c r="B12" s="3" t="s">
        <v>152</v>
      </c>
      <c r="C12" s="3">
        <v>799912746</v>
      </c>
      <c r="D12" s="3" t="s">
        <v>22</v>
      </c>
      <c r="E12" s="3" t="s">
        <v>23</v>
      </c>
      <c r="F12" s="3" t="s">
        <v>24</v>
      </c>
      <c r="G12" s="3" t="s">
        <v>153</v>
      </c>
      <c r="H12" s="3" t="s">
        <v>154</v>
      </c>
      <c r="I12" s="3" t="s">
        <v>26</v>
      </c>
      <c r="J12" s="3" t="s">
        <v>155</v>
      </c>
      <c r="K12" s="4">
        <v>18963000</v>
      </c>
      <c r="L12" s="4">
        <v>18963000</v>
      </c>
    </row>
    <row r="13" spans="1:12" ht="15.6" x14ac:dyDescent="0.3">
      <c r="A13" s="2">
        <f>ROW()-ROW(A3)</f>
        <v>10</v>
      </c>
      <c r="B13" s="3" t="s">
        <v>156</v>
      </c>
      <c r="C13" s="3">
        <v>799904381</v>
      </c>
      <c r="D13" s="3" t="s">
        <v>22</v>
      </c>
      <c r="E13" s="3" t="s">
        <v>23</v>
      </c>
      <c r="F13" s="3" t="s">
        <v>24</v>
      </c>
      <c r="G13" s="3" t="s">
        <v>157</v>
      </c>
      <c r="H13" s="3" t="s">
        <v>158</v>
      </c>
      <c r="I13" s="3" t="s">
        <v>26</v>
      </c>
      <c r="J13" s="3" t="s">
        <v>159</v>
      </c>
      <c r="K13" s="4">
        <v>19989000</v>
      </c>
      <c r="L13" s="4">
        <v>19989000</v>
      </c>
    </row>
  </sheetData>
  <mergeCells count="1">
    <mergeCell ref="A1:D1"/>
  </mergeCells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Config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Application</dc:creator>
  <cp:lastModifiedBy>Lenovo</cp:lastModifiedBy>
  <dcterms:created xsi:type="dcterms:W3CDTF">2025-11-14T08:34:07Z</dcterms:created>
  <dcterms:modified xsi:type="dcterms:W3CDTF">2025-11-20T17:14:33Z</dcterms:modified>
</cp:coreProperties>
</file>