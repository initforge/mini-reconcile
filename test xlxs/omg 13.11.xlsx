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Config" r:id="rId3" sheetId="1" state="hidden"/>
    <sheet name="Sheet1" r:id="rId4" sheetId="2"/>
  </sheets>
  <definedNames/>
</workbook>
</file>

<file path=xl/sharedStrings.xml><?xml version="1.0" encoding="utf-8"?>
<sst xmlns="http://schemas.openxmlformats.org/spreadsheetml/2006/main" count="926" uniqueCount="371">
  <si>
    <t>Dịch vụ</t>
  </si>
  <si>
    <t>1</t>
  </si>
  <si>
    <t>QR</t>
  </si>
  <si>
    <t>2</t>
  </si>
  <si>
    <t>CTT</t>
  </si>
  <si>
    <t>3</t>
  </si>
  <si>
    <t>SmartPOS</t>
  </si>
  <si>
    <t>4</t>
  </si>
  <si>
    <t>PhonePOS</t>
  </si>
  <si>
    <t>Trạng thái</t>
  </si>
  <si>
    <t>Thành công</t>
  </si>
  <si>
    <t>Không thành công</t>
  </si>
  <si>
    <t>Nghi vấn</t>
  </si>
  <si>
    <t>Hủy không thành công</t>
  </si>
  <si>
    <t>5</t>
  </si>
  <si>
    <t>Hủy thành công</t>
  </si>
  <si>
    <t>BÁO CÁO CHI TIẾT GIAO DỊCH</t>
  </si>
  <si>
    <t>STT</t>
  </si>
  <si>
    <t>Thời gian GD</t>
  </si>
  <si>
    <t>Mã giao dịch</t>
  </si>
  <si>
    <t>Chi nhánh</t>
  </si>
  <si>
    <t>Mã điểm thu</t>
  </si>
  <si>
    <t>Điểm thu</t>
  </si>
  <si>
    <t>Số hóa đơn</t>
  </si>
  <si>
    <t>Số hợp đồng</t>
  </si>
  <si>
    <t>Mã đơn hàng</t>
  </si>
  <si>
    <t>Mã trừ tiền/Mã chuẩn chi</t>
  </si>
  <si>
    <t>Mã khuyến mại</t>
  </si>
  <si>
    <t>Số điện thoại</t>
  </si>
  <si>
    <t>Tên khách hàng</t>
  </si>
  <si>
    <t>Số TK/Thẻ</t>
  </si>
  <si>
    <t>Loại giao dịch</t>
  </si>
  <si>
    <t>Kênh thanh toán KTS</t>
  </si>
  <si>
    <t>Số tiền trước KM</t>
  </si>
  <si>
    <t>Số tiền sau KM</t>
  </si>
  <si>
    <t>Chi tiết sản phẩm</t>
  </si>
  <si>
    <t>Thông tin đặt hàng</t>
  </si>
  <si>
    <t>Ngân hàng</t>
  </si>
  <si>
    <t>Loại thẻ/Tài khoản</t>
  </si>
  <si>
    <t>Loại phát hành</t>
  </si>
  <si>
    <t>Nguồn tiền</t>
  </si>
  <si>
    <t>Kênh thanh toán</t>
  </si>
  <si>
    <t>YC trả góp</t>
  </si>
  <si>
    <t>Trạng thái trả góp</t>
  </si>
  <si>
    <t>Kỳ hạn</t>
  </si>
  <si>
    <t>Thời gian đối soát</t>
  </si>
  <si>
    <t>Ghi chú</t>
  </si>
  <si>
    <t>Thông tin bổ sung</t>
  </si>
  <si>
    <t>Mã lỗi bank</t>
  </si>
  <si>
    <t>13/11/2025 22:31:58</t>
  </si>
  <si>
    <t>OMG</t>
  </si>
  <si>
    <t>CAOQUYNH</t>
  </si>
  <si>
    <t>OMG208LCT001</t>
  </si>
  <si>
    <t>20410628931734528</t>
  </si>
  <si>
    <t/>
  </si>
  <si>
    <t>090xxxx632</t>
  </si>
  <si>
    <t>Khch *** 0909744632</t>
  </si>
  <si>
    <t>197791xxxxxxx3680</t>
  </si>
  <si>
    <t>1: \1\251000
</t>
  </si>
  <si>
    <t>VNPAYEWALLET</t>
  </si>
  <si>
    <t>Không</t>
  </si>
  <si>
    <t>14/11/2025 22:31:58</t>
  </si>
  <si>
    <t>00</t>
  </si>
  <si>
    <t>13/11/2025 21:58:25</t>
  </si>
  <si>
    <t>20410498158251008</t>
  </si>
  <si>
    <t>097xxxx895</t>
  </si>
  <si>
    <t>PHM ***** NHT</t>
  </si>
  <si>
    <t>762713xxxxxxxx3104</t>
  </si>
  <si>
    <t>1: \1\278000
</t>
  </si>
  <si>
    <t>14/11/2025 21:58:25</t>
  </si>
  <si>
    <t>13/11/2025 21:52:32</t>
  </si>
  <si>
    <t>20410471390006272</t>
  </si>
  <si>
    <t>1: \1\274000
</t>
  </si>
  <si>
    <t>14/11/2025 21:52:32</t>
  </si>
  <si>
    <t>13/11/2025 21:49:58</t>
  </si>
  <si>
    <t>20410464214002688</t>
  </si>
  <si>
    <t>093xxxx144</t>
  </si>
  <si>
    <t>Phm ** *** Cc</t>
  </si>
  <si>
    <t>185870xxxxxxx7808</t>
  </si>
  <si>
    <t>1: \1\1075000
</t>
  </si>
  <si>
    <t>14/11/2025 21:49:58</t>
  </si>
  <si>
    <t>13/11/2025 21:45:29</t>
  </si>
  <si>
    <t>20410444217011200</t>
  </si>
  <si>
    <t>035xxxx157</t>
  </si>
  <si>
    <t>V ** Hng</t>
  </si>
  <si>
    <t>670236xxxxxxxx1536</t>
  </si>
  <si>
    <t>1: \1\296000
</t>
  </si>
  <si>
    <t>14/11/2025 21:45:29</t>
  </si>
  <si>
    <t>13/11/2025 21:38:11</t>
  </si>
  <si>
    <t>20410418647157760</t>
  </si>
  <si>
    <t>033xxxx680</t>
  </si>
  <si>
    <t>Khch *** 0335753680</t>
  </si>
  <si>
    <t>198827xxxxxxx3392</t>
  </si>
  <si>
    <t>1: \1\295000
</t>
  </si>
  <si>
    <t>14/11/2025 21:38:11</t>
  </si>
  <si>
    <t>13/11/2025 20:47:38</t>
  </si>
  <si>
    <t>20410218970041344</t>
  </si>
  <si>
    <t>1: \1\276000
</t>
  </si>
  <si>
    <t>14/11/2025 20:47:38</t>
  </si>
  <si>
    <t>13/11/2025 19:43:29</t>
  </si>
  <si>
    <t>20409962406759424</t>
  </si>
  <si>
    <t>038xxxx586</t>
  </si>
  <si>
    <t>Nguyn ** **** Chi</t>
  </si>
  <si>
    <t>766206xxxxxxxx7648</t>
  </si>
  <si>
    <t>1: \1\252000
</t>
  </si>
  <si>
    <t>14/11/2025 19:43:29</t>
  </si>
  <si>
    <t>13/11/2025 17:50:22</t>
  </si>
  <si>
    <t>20409520128084992</t>
  </si>
  <si>
    <t>094xxxx310</t>
  </si>
  <si>
    <t>Khch *** 0941213310</t>
  </si>
  <si>
    <t>203980xxxxxxx7808</t>
  </si>
  <si>
    <t>1: \1\310000
</t>
  </si>
  <si>
    <t>14/11/2025 17:50:22</t>
  </si>
  <si>
    <t>13/11/2025 17:45:44</t>
  </si>
  <si>
    <t>20409504171895808</t>
  </si>
  <si>
    <t>052xxxx617</t>
  </si>
  <si>
    <t>Khch *** 0528150617</t>
  </si>
  <si>
    <t>201581xxxxxxx2976</t>
  </si>
  <si>
    <t>1: \1\269000
</t>
  </si>
  <si>
    <t>14/11/2025 17:45:44</t>
  </si>
  <si>
    <t>13/11/2025 17:13:42</t>
  </si>
  <si>
    <t>20409378077101056</t>
  </si>
  <si>
    <t>1: \1\300000
</t>
  </si>
  <si>
    <t>trang trang</t>
  </si>
  <si>
    <t>14/11/2025 17:13:42</t>
  </si>
  <si>
    <t>13/11/2025 16:27:07</t>
  </si>
  <si>
    <t>20409194658352128</t>
  </si>
  <si>
    <t>096xxxx824</t>
  </si>
  <si>
    <t>L *** Thann</t>
  </si>
  <si>
    <t>190106xxxxxxx0448</t>
  </si>
  <si>
    <t>1: \1\10002000
</t>
  </si>
  <si>
    <t>14/11/2025 16:27:07</t>
  </si>
  <si>
    <t>13/11/2025 14:42:21</t>
  </si>
  <si>
    <t>20408782989315072</t>
  </si>
  <si>
    <t>083xxxx700</t>
  </si>
  <si>
    <t>Khch *** 0839470700</t>
  </si>
  <si>
    <t>201130xxxxxxx8304</t>
  </si>
  <si>
    <t>1: \1\289000
</t>
  </si>
  <si>
    <t>14/11/2025 14:42:21</t>
  </si>
  <si>
    <t>13/11/2025 14:41:10</t>
  </si>
  <si>
    <t>20408778224978944</t>
  </si>
  <si>
    <t>082xxxx228</t>
  </si>
  <si>
    <t>Khch *** 0825567228</t>
  </si>
  <si>
    <t>199106xxxxxxx3344</t>
  </si>
  <si>
    <t>1: \1\293000
</t>
  </si>
  <si>
    <t>14/11/2025 14:41:10</t>
  </si>
  <si>
    <t>13/11/2025 14:39:52</t>
  </si>
  <si>
    <t>20408773251058688</t>
  </si>
  <si>
    <t>097xxxx029</t>
  </si>
  <si>
    <t>nguyen *** tam</t>
  </si>
  <si>
    <t>956821xxxxxxxx3360</t>
  </si>
  <si>
    <t>1: \1\286000
</t>
  </si>
  <si>
    <t>14/11/2025 14:39:52</t>
  </si>
  <si>
    <t>13/11/2025 14:09:23</t>
  </si>
  <si>
    <t>20408649834966016</t>
  </si>
  <si>
    <t>036xxxx451</t>
  </si>
  <si>
    <t>LI *** MAI</t>
  </si>
  <si>
    <t>768371xxxxxxxx3776</t>
  </si>
  <si>
    <t>1: \1\292000
</t>
  </si>
  <si>
    <t>14/11/2025 14:09:23</t>
  </si>
  <si>
    <t>13/11/2025 14:05:08</t>
  </si>
  <si>
    <t>20408637699804160</t>
  </si>
  <si>
    <t>090xxxx853</t>
  </si>
  <si>
    <t>Nguyn ***** Ngha</t>
  </si>
  <si>
    <t>708601xxxxxxxx4336</t>
  </si>
  <si>
    <t>1: \1\3395000
</t>
  </si>
  <si>
    <t>14/11/2025 14:05:08</t>
  </si>
  <si>
    <t>13/11/2025 13:59:15</t>
  </si>
  <si>
    <t>20408612803259392</t>
  </si>
  <si>
    <t>037xxxx408</t>
  </si>
  <si>
    <t>Khch *** 0378259408</t>
  </si>
  <si>
    <t>203789xxxxxxx3040</t>
  </si>
  <si>
    <t>1: \1\285000
</t>
  </si>
  <si>
    <t>14/11/2025 13:59:15</t>
  </si>
  <si>
    <t>13/11/2025 13:57:06</t>
  </si>
  <si>
    <t>20408604933762048</t>
  </si>
  <si>
    <t>035xxxx300</t>
  </si>
  <si>
    <t>Trn *** Tuyn</t>
  </si>
  <si>
    <t>163091xxxxxxx4112</t>
  </si>
  <si>
    <t>1: \1\1015000
</t>
  </si>
  <si>
    <t>14/11/2025 13:57:06</t>
  </si>
  <si>
    <t>13/11/2025 13:02:52</t>
  </si>
  <si>
    <t>20408391013313536</t>
  </si>
  <si>
    <t>039xxxx055</t>
  </si>
  <si>
    <t>Nguyn ** ***** Tho</t>
  </si>
  <si>
    <t>729714xxxxxxxx3888</t>
  </si>
  <si>
    <t>1: \1\1091000
</t>
  </si>
  <si>
    <t>14/11/2025 13:02:52</t>
  </si>
  <si>
    <t>13/11/2025 12:08:53</t>
  </si>
  <si>
    <t>20408177851837440</t>
  </si>
  <si>
    <t>090xxxx087</t>
  </si>
  <si>
    <t>INH ** TRUNG</t>
  </si>
  <si>
    <t>918501xxxxxxxx6800</t>
  </si>
  <si>
    <t>14/11/2025 12:08:53</t>
  </si>
  <si>
    <t>13/11/2025 11:51:28</t>
  </si>
  <si>
    <t>20408111489829888</t>
  </si>
  <si>
    <t>090xxxx588</t>
  </si>
  <si>
    <t>TRN * *** THO</t>
  </si>
  <si>
    <t>854745xxxxxxxx3936</t>
  </si>
  <si>
    <t>1: \1\291000
</t>
  </si>
  <si>
    <t>14/11/2025 11:51:28</t>
  </si>
  <si>
    <t>13/11/2025 11:34:24</t>
  </si>
  <si>
    <t>20408043787734016</t>
  </si>
  <si>
    <t>14/11/2025 11:34:24</t>
  </si>
  <si>
    <t>13/11/2025 11:12:56</t>
  </si>
  <si>
    <t>20407959692323840</t>
  </si>
  <si>
    <t>038xxxx252</t>
  </si>
  <si>
    <t>nguyn ** * n</t>
  </si>
  <si>
    <t>169829xxxxxxx0464</t>
  </si>
  <si>
    <t>1: \1\281000
</t>
  </si>
  <si>
    <t>14/11/2025 11:12:56</t>
  </si>
  <si>
    <t>13/11/2025 11:08:15</t>
  </si>
  <si>
    <t>20407939186838528</t>
  </si>
  <si>
    <t>037xxxx924</t>
  </si>
  <si>
    <t>Khch *** 0373468924</t>
  </si>
  <si>
    <t>202890xxxxxxx0128</t>
  </si>
  <si>
    <t>1: \1\260000
</t>
  </si>
  <si>
    <t>trang</t>
  </si>
  <si>
    <t>14/11/2025 11:08:15</t>
  </si>
  <si>
    <t>13/11/2025 11:01:05</t>
  </si>
  <si>
    <t>20407911994444800</t>
  </si>
  <si>
    <t>096xxxx595</t>
  </si>
  <si>
    <t>NGUYN ** **** THO</t>
  </si>
  <si>
    <t>816650xxxxxxxx5296</t>
  </si>
  <si>
    <t>14/11/2025 11:01:05</t>
  </si>
  <si>
    <t>13/11/2025 10:26:00</t>
  </si>
  <si>
    <t>20407773162122240</t>
  </si>
  <si>
    <t>090xxxx766</t>
  </si>
  <si>
    <t>phm *** nam</t>
  </si>
  <si>
    <t>754236xxxxxxxx0512</t>
  </si>
  <si>
    <t>14/11/2025 10:26:00</t>
  </si>
  <si>
    <t>13/11/2025 10:11:01</t>
  </si>
  <si>
    <t>20407715631352832</t>
  </si>
  <si>
    <t>037xxxx691</t>
  </si>
  <si>
    <t>Th Thm</t>
  </si>
  <si>
    <t>724479xxxxxxxx9376</t>
  </si>
  <si>
    <t>14/11/2025 10:11:01</t>
  </si>
  <si>
    <t>13/11/2025 10:00:30</t>
  </si>
  <si>
    <t>20407670788606976</t>
  </si>
  <si>
    <t>086xxxx053</t>
  </si>
  <si>
    <t>Khch *** 0865044053</t>
  </si>
  <si>
    <t>203624xxxxxxx7200</t>
  </si>
  <si>
    <t>14/11/2025 10:00:30</t>
  </si>
  <si>
    <t>13/11/2025 10:00:21</t>
  </si>
  <si>
    <t>20407672094608384</t>
  </si>
  <si>
    <t>098xxxx520</t>
  </si>
  <si>
    <t>ON ** **** ANH</t>
  </si>
  <si>
    <t>851830xxxxxxxx4496</t>
  </si>
  <si>
    <t>14/11/2025 10:00:21</t>
  </si>
  <si>
    <t>13/11/2025 09:44:20</t>
  </si>
  <si>
    <t>20407610289826816</t>
  </si>
  <si>
    <t>039xxxx284</t>
  </si>
  <si>
    <t>Khch *** 0399266284</t>
  </si>
  <si>
    <t>203563xxxxxxx8800</t>
  </si>
  <si>
    <t>1: \1\275000
</t>
  </si>
  <si>
    <t>14/11/2025 09:44:20</t>
  </si>
  <si>
    <t>13/11/2025 09:38:27</t>
  </si>
  <si>
    <t>20407588310952960</t>
  </si>
  <si>
    <t>091xxxx513</t>
  </si>
  <si>
    <t>0918183513</t>
  </si>
  <si>
    <t>851690xxxxxxxx6960</t>
  </si>
  <si>
    <t>1: \1\283000
</t>
  </si>
  <si>
    <t>14/11/2025 09:38:27</t>
  </si>
  <si>
    <t>13/11/2025 08:54:29</t>
  </si>
  <si>
    <t>20407414918163456</t>
  </si>
  <si>
    <t>097xxxx240</t>
  </si>
  <si>
    <t>NGUYN ** *** THNG</t>
  </si>
  <si>
    <t>187115xxxxxxx9344</t>
  </si>
  <si>
    <t>14/11/2025 08:54:29</t>
  </si>
  <si>
    <t>13/11/2025 08:20:36</t>
  </si>
  <si>
    <t>20407281816194048</t>
  </si>
  <si>
    <t>098xxxx091</t>
  </si>
  <si>
    <t>NGUYN ** LU</t>
  </si>
  <si>
    <t>813674xxxxxxxx8176</t>
  </si>
  <si>
    <t>1: \1\1005000
</t>
  </si>
  <si>
    <t>14/11/2025 08:20:36</t>
  </si>
  <si>
    <t>13/11/2025 08:17:46</t>
  </si>
  <si>
    <t>20407269786463232</t>
  </si>
  <si>
    <t>1: \1\1099000
</t>
  </si>
  <si>
    <t>14/11/2025 08:17:46</t>
  </si>
  <si>
    <t>Tổng số giao dịch:</t>
  </si>
  <si>
    <t>Tổng giá trị giao dịch:</t>
  </si>
  <si>
    <t>6</t>
  </si>
  <si>
    <t>Đang thực hiện</t>
  </si>
  <si>
    <t>8</t>
  </si>
  <si>
    <t>Hết hạn thanh toán</t>
  </si>
  <si>
    <t>01</t>
  </si>
  <si>
    <t>Tài khoản nội địa</t>
  </si>
  <si>
    <t>02</t>
  </si>
  <si>
    <t>Visa</t>
  </si>
  <si>
    <t>03</t>
  </si>
  <si>
    <t>Thẻ nội địa</t>
  </si>
  <si>
    <t>04</t>
  </si>
  <si>
    <t>Unionpay</t>
  </si>
  <si>
    <t>05</t>
  </si>
  <si>
    <t>Master</t>
  </si>
  <si>
    <t>06</t>
  </si>
  <si>
    <t>Jcb</t>
  </si>
  <si>
    <t>07</t>
  </si>
  <si>
    <t>Tài khoản ví</t>
  </si>
  <si>
    <t>09</t>
  </si>
  <si>
    <t>Thẻ Amex</t>
  </si>
  <si>
    <t>10</t>
  </si>
  <si>
    <t>Thẻ Diners club</t>
  </si>
  <si>
    <t>12</t>
  </si>
  <si>
    <t>Thẻ VNPAY</t>
  </si>
  <si>
    <t>13</t>
  </si>
  <si>
    <t>Ví trả sau</t>
  </si>
  <si>
    <t>ACC</t>
  </si>
  <si>
    <t>VISA</t>
  </si>
  <si>
    <t>ATM</t>
  </si>
  <si>
    <t>UPI</t>
  </si>
  <si>
    <t>MASTERCARD</t>
  </si>
  <si>
    <t>Mastercard</t>
  </si>
  <si>
    <t>JCB</t>
  </si>
  <si>
    <t>EW</t>
  </si>
  <si>
    <t>VNPAY_CARD</t>
  </si>
  <si>
    <t>EW_PAY_LATER</t>
  </si>
  <si>
    <t>QR-Cổng</t>
  </si>
  <si>
    <t>QR-Billing</t>
  </si>
  <si>
    <t>QR-Sản phẩm</t>
  </si>
  <si>
    <t>QR-Offline</t>
  </si>
  <si>
    <t>QR-Customer</t>
  </si>
  <si>
    <t>Thanh toán qua web</t>
  </si>
  <si>
    <t>Thanh toán qua token</t>
  </si>
  <si>
    <t>Thanh toán qua Qrcode</t>
  </si>
  <si>
    <t>Trạng thái trả góp của CTT</t>
  </si>
  <si>
    <t>Chuyển đổi thành công</t>
  </si>
  <si>
    <t>Chờ chuyển đổi</t>
  </si>
  <si>
    <t>Đã gửi Bank chuyển đổi</t>
  </si>
  <si>
    <t>Chuyển đổi không thành công</t>
  </si>
  <si>
    <t>Huỷ chuyển đổi</t>
  </si>
  <si>
    <t>Chưa xác định</t>
  </si>
  <si>
    <t>Giao dịch thường</t>
  </si>
  <si>
    <t>Giao dịch hoàn</t>
  </si>
  <si>
    <t>Giao dịch trả góp</t>
  </si>
  <si>
    <t>Giao dịch Định kỳ</t>
  </si>
  <si>
    <t>Giao dịch Authorize</t>
  </si>
  <si>
    <t>Giao dịch Capture</t>
  </si>
  <si>
    <t>08</t>
  </si>
  <si>
    <t>BPSP</t>
  </si>
  <si>
    <t>7</t>
  </si>
  <si>
    <t>MOTO</t>
  </si>
  <si>
    <t>SALE</t>
  </si>
  <si>
    <t>ODA</t>
  </si>
  <si>
    <t>Offline sale</t>
  </si>
  <si>
    <t>Thẻ nội địa/tài khoản ngân hàng</t>
  </si>
  <si>
    <t>Thẻ Quốc tế phát hành trong nước</t>
  </si>
  <si>
    <t>Thẻ Quốc tế phát hành nước ngoài</t>
  </si>
  <si>
    <t>Ví điện tử</t>
  </si>
  <si>
    <t>Digital Pay - Thẻ nội địa</t>
  </si>
  <si>
    <t>Digital Pay - Thẻ Quốc tế phát hành trong nước</t>
  </si>
  <si>
    <t>Digital Pay - Thẻ Quốc tế phát hành nước ngoài</t>
  </si>
  <si>
    <t>Thẻ quốc tế phát hành nước ngoài</t>
  </si>
  <si>
    <t>Thẻ quốc tế phát hành trong nước</t>
  </si>
  <si>
    <t>Thẻ ghi nợ nội địa</t>
  </si>
  <si>
    <t>11</t>
  </si>
  <si>
    <t>Thẻ tín dụng nội địa </t>
  </si>
  <si>
    <t>VNPAY</t>
  </si>
  <si>
    <t>APPLE PAY</t>
  </si>
  <si>
    <t>GOOGLE PAY</t>
  </si>
  <si>
    <t>Trạng thái trả góp SmartPOS</t>
  </si>
  <si>
    <t>0</t>
  </si>
  <si>
    <t>Khởi tạo</t>
  </si>
  <si>
    <t>Đã gửi bank chuyển đổi</t>
  </si>
  <si>
    <t>Đang xử lý hủy</t>
  </si>
  <si>
    <t>70</t>
  </si>
  <si>
    <t>71</t>
  </si>
  <si>
    <t>Hủy chuyển đổi</t>
  </si>
  <si>
    <t>72</t>
  </si>
  <si>
    <t>73</t>
  </si>
</sst>
</file>

<file path=xl/styles.xml><?xml version="1.0" encoding="utf-8"?>
<styleSheet xmlns="http://schemas.openxmlformats.org/spreadsheetml/2006/main">
  <numFmts count="1">
    <numFmt numFmtId="165" formatCode="#,##0"/>
  </numFmts>
  <fonts count="7">
    <font>
      <sz val="11.00"/>
      <color rgb="FF000000"/>
      <name val="Calibri"/>
    </font>
    <font>
      <b/>
      <sz val="14.00"/>
      <color rgb="000000"/>
      <name val="Times New Roman"/>
    </font>
    <font>
      <sz val="14.00"/>
      <color rgb="000000"/>
      <name val="Times New Roman"/>
    </font>
    <font>
      <b/>
      <sz val="14.00"/>
      <color rgb="FFFFFF"/>
      <name val="Times New Roman"/>
    </font>
    <font>
      <b/>
      <sz val="12.00"/>
      <color rgb="110102"/>
      <name val="Times New Roman"/>
    </font>
    <font>
      <sz val="12.00"/>
      <color rgb="110102"/>
      <name val="Times New Roman"/>
    </font>
    <font>
      <b/>
      <sz val="11.00"/>
      <color rgb="1101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8EB4B3"/>
      </patternFill>
    </fill>
    <fill>
      <patternFill patternType="solid">
        <fgColor rgb="00B050"/>
      </patternFill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1">
      <alignment horizontal="center" vertical="center"/>
    </xf>
    <xf numFmtId="0" fontId="2" fillId="0" borderId="1" xfId="0" applyBorder="1">
      <alignment horizontal="center" vertical="center"/>
    </xf>
    <xf numFmtId="0" fontId="3" fillId="3" borderId="1" xfId="0" applyBorder="1">
      <alignment horizontal="center" vertical="center"/>
    </xf>
    <xf numFmtId="0" fontId="4" fillId="4" borderId="1" xfId="0" applyBorder="1">
      <alignment horizontal="center" vertical="center"/>
    </xf>
    <xf numFmtId="0" fontId="5" fillId="0" borderId="1" xfId="0" applyBorder="1">
      <alignment horizontal="right" vertical="center"/>
    </xf>
    <xf numFmtId="0" fontId="5" fillId="0" borderId="1" xfId="0" applyBorder="1">
      <alignment horizontal="left" vertical="center"/>
    </xf>
    <xf numFmtId="165" fontId="5" fillId="0" borderId="1" xfId="0" applyBorder="1">
      <alignment horizontal="right" vertical="center"/>
    </xf>
    <xf numFmtId="0" fontId="6" fillId="0" borderId="1" xfId="0" applyBorder="1">
      <alignment horizontal="center" vertical="center"/>
    </xf>
    <xf numFmtId="0" fontId="6" fillId="0" borderId="1" xfId="0" applyBorder="1">
      <alignment horizontal="left" vertical="center"/>
    </xf>
    <xf numFmtId="165" fontId="6" fillId="0" borderId="1" xfId="0" applyBorder="1">
      <alignment horizontal="lef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customWidth="true" bestFit="false"/>
    <col min="2" max="2" width="20.0" customWidth="true" bestFit="false"/>
    <col min="3" max="3" width="20.0" customWidth="true" bestFit="false"/>
    <col min="4" max="4" width="20.0" customWidth="true" bestFit="false"/>
    <col min="5" max="5" width="20.0" customWidth="true" bestFit="false"/>
    <col min="6" max="6" width="20.0" customWidth="true" bestFit="false"/>
    <col min="7" max="7" width="20.0" customWidth="true" bestFit="false"/>
    <col min="8" max="8" width="20.0" customWidth="true" bestFit="false"/>
    <col min="9" max="9" width="20.0" customWidth="true" bestFit="false"/>
    <col min="10" max="10" width="20.0" customWidth="true" bestFit="false"/>
    <col min="11" max="11" width="20.0" customWidth="true" bestFit="false"/>
    <col min="12" max="12" width="20.0" customWidth="true" bestFit="false"/>
    <col min="13" max="13" width="20.0" customWidth="true" bestFit="false"/>
    <col min="14" max="14" width="20.0" customWidth="true" bestFit="false"/>
    <col min="15" max="15" width="20.0" customWidth="true" bestFit="false"/>
    <col min="16" max="16" width="20.0" customWidth="true" bestFit="false"/>
    <col min="17" max="17" width="20.0" customWidth="true" bestFit="false"/>
    <col min="18" max="18" width="20.0" customWidth="true" bestFit="false"/>
    <col min="19" max="19" width="20.0" customWidth="true" bestFit="false"/>
    <col min="20" max="20" width="20.0" customWidth="true" bestFit="false"/>
    <col min="21" max="21" width="20.0" customWidth="true" bestFit="false"/>
    <col min="22" max="22" width="20.0" customWidth="true" bestFit="false"/>
    <col min="23" max="23" width="20.0" customWidth="true" bestFit="false"/>
    <col min="24" max="24" width="20.0" customWidth="true" bestFit="false"/>
    <col min="25" max="25" width="20.0" customWidth="true" bestFit="false"/>
    <col min="26" max="26" width="20.0" customWidth="true" bestFit="false"/>
  </cols>
  <sheetData>
    <row r="1" ht="22.0" customHeight="1">
      <c r="A1" s="1" t="s">
        <v>0</v>
      </c>
      <c r="D1" s="1" t="s">
        <v>9</v>
      </c>
      <c r="G1" s="1" t="s">
        <v>38</v>
      </c>
      <c r="J1" s="1" t="s">
        <v>41</v>
      </c>
      <c r="M1" s="1" t="s">
        <v>326</v>
      </c>
      <c r="P1" s="1" t="s">
        <v>31</v>
      </c>
      <c r="S1" s="1" t="s">
        <v>40</v>
      </c>
      <c r="V1" s="1" t="s">
        <v>32</v>
      </c>
      <c r="Y1" s="1" t="s">
        <v>361</v>
      </c>
    </row>
    <row r="2" ht="22.0" customHeight="1">
      <c r="A2" s="2" t="s">
        <v>1</v>
      </c>
      <c r="B2" s="2" t="s">
        <v>2</v>
      </c>
      <c r="D2" s="2" t="s">
        <v>1</v>
      </c>
      <c r="E2" s="2" t="s">
        <v>10</v>
      </c>
      <c r="G2" s="2" t="s">
        <v>286</v>
      </c>
      <c r="H2" s="2" t="s">
        <v>287</v>
      </c>
      <c r="J2" s="2" t="s">
        <v>288</v>
      </c>
      <c r="K2" s="2" t="s">
        <v>318</v>
      </c>
      <c r="M2" s="2" t="s">
        <v>62</v>
      </c>
      <c r="N2" s="2" t="s">
        <v>327</v>
      </c>
      <c r="P2" s="2" t="s">
        <v>286</v>
      </c>
      <c r="Q2" s="2" t="s">
        <v>333</v>
      </c>
      <c r="S2" s="2" t="s">
        <v>286</v>
      </c>
      <c r="T2" s="2" t="s">
        <v>346</v>
      </c>
      <c r="V2" s="2" t="s">
        <v>1</v>
      </c>
      <c r="W2" s="2" t="s">
        <v>358</v>
      </c>
      <c r="Y2" s="2" t="s">
        <v>362</v>
      </c>
      <c r="Z2" s="2" t="s">
        <v>363</v>
      </c>
    </row>
    <row r="3" ht="22.0" customHeight="1">
      <c r="A3" s="2" t="s">
        <v>3</v>
      </c>
      <c r="B3" s="2" t="s">
        <v>4</v>
      </c>
      <c r="D3" s="2" t="s">
        <v>3</v>
      </c>
      <c r="E3" s="2" t="s">
        <v>11</v>
      </c>
      <c r="G3" s="2" t="s">
        <v>288</v>
      </c>
      <c r="H3" s="2" t="s">
        <v>289</v>
      </c>
      <c r="J3" s="2" t="s">
        <v>292</v>
      </c>
      <c r="K3" s="2" t="s">
        <v>319</v>
      </c>
      <c r="M3" s="2" t="s">
        <v>286</v>
      </c>
      <c r="N3" s="2" t="s">
        <v>328</v>
      </c>
      <c r="P3" s="2" t="s">
        <v>288</v>
      </c>
      <c r="Q3" s="2" t="s">
        <v>334</v>
      </c>
      <c r="S3" s="2" t="s">
        <v>288</v>
      </c>
      <c r="T3" s="2" t="s">
        <v>347</v>
      </c>
      <c r="V3" s="2" t="s">
        <v>3</v>
      </c>
      <c r="W3" s="2" t="s">
        <v>359</v>
      </c>
      <c r="Y3" s="2" t="s">
        <v>1</v>
      </c>
      <c r="Z3" s="2" t="s">
        <v>328</v>
      </c>
    </row>
    <row r="4" ht="22.0" customHeight="1">
      <c r="A4" s="2" t="s">
        <v>5</v>
      </c>
      <c r="B4" s="2" t="s">
        <v>6</v>
      </c>
      <c r="D4" s="2" t="s">
        <v>5</v>
      </c>
      <c r="E4" s="2" t="s">
        <v>12</v>
      </c>
      <c r="G4" s="2" t="s">
        <v>290</v>
      </c>
      <c r="H4" s="2" t="s">
        <v>291</v>
      </c>
      <c r="J4" s="2" t="s">
        <v>294</v>
      </c>
      <c r="K4" s="2" t="s">
        <v>320</v>
      </c>
      <c r="M4" s="2" t="s">
        <v>288</v>
      </c>
      <c r="N4" s="2" t="s">
        <v>329</v>
      </c>
      <c r="P4" s="2" t="s">
        <v>290</v>
      </c>
      <c r="Q4" s="2" t="s">
        <v>334</v>
      </c>
      <c r="S4" s="2" t="s">
        <v>290</v>
      </c>
      <c r="T4" s="2" t="s">
        <v>348</v>
      </c>
      <c r="V4" s="2" t="s">
        <v>5</v>
      </c>
      <c r="W4" s="2" t="s">
        <v>360</v>
      </c>
      <c r="Y4" s="2" t="s">
        <v>3</v>
      </c>
      <c r="Z4" s="2" t="s">
        <v>364</v>
      </c>
    </row>
    <row r="5" ht="22.0" customHeight="1">
      <c r="A5" s="2" t="s">
        <v>7</v>
      </c>
      <c r="B5" s="2" t="s">
        <v>8</v>
      </c>
      <c r="D5" s="2" t="s">
        <v>7</v>
      </c>
      <c r="E5" s="2" t="s">
        <v>13</v>
      </c>
      <c r="G5" s="2" t="s">
        <v>292</v>
      </c>
      <c r="H5" s="2" t="s">
        <v>293</v>
      </c>
      <c r="J5" s="2" t="s">
        <v>296</v>
      </c>
      <c r="K5" s="2" t="s">
        <v>321</v>
      </c>
      <c r="M5" s="2" t="s">
        <v>290</v>
      </c>
      <c r="N5" s="2" t="s">
        <v>330</v>
      </c>
      <c r="P5" s="2" t="s">
        <v>292</v>
      </c>
      <c r="Q5" s="2" t="s">
        <v>335</v>
      </c>
      <c r="S5" s="2" t="s">
        <v>292</v>
      </c>
      <c r="T5" s="2" t="s">
        <v>349</v>
      </c>
      <c r="Y5" s="2" t="s">
        <v>5</v>
      </c>
      <c r="Z5" s="2" t="s">
        <v>365</v>
      </c>
    </row>
    <row r="6" ht="22.0" customHeight="1">
      <c r="D6" s="2" t="s">
        <v>14</v>
      </c>
      <c r="E6" s="2" t="s">
        <v>15</v>
      </c>
      <c r="G6" s="2" t="s">
        <v>294</v>
      </c>
      <c r="H6" s="2" t="s">
        <v>295</v>
      </c>
      <c r="J6" s="2" t="s">
        <v>300</v>
      </c>
      <c r="K6" s="2" t="s">
        <v>322</v>
      </c>
      <c r="M6" s="2" t="s">
        <v>292</v>
      </c>
      <c r="N6" s="2" t="s">
        <v>331</v>
      </c>
      <c r="P6" s="2" t="s">
        <v>294</v>
      </c>
      <c r="Q6" s="2" t="s">
        <v>336</v>
      </c>
      <c r="S6" s="2" t="s">
        <v>294</v>
      </c>
      <c r="T6" s="2" t="s">
        <v>350</v>
      </c>
      <c r="Y6" s="2" t="s">
        <v>7</v>
      </c>
      <c r="Z6" s="2" t="s">
        <v>365</v>
      </c>
    </row>
    <row r="7" ht="22.0" customHeight="1">
      <c r="D7" s="2" t="s">
        <v>282</v>
      </c>
      <c r="E7" s="2" t="s">
        <v>283</v>
      </c>
      <c r="G7" s="2" t="s">
        <v>296</v>
      </c>
      <c r="H7" s="2" t="s">
        <v>297</v>
      </c>
      <c r="J7" s="2" t="s">
        <v>1</v>
      </c>
      <c r="K7" s="2" t="s">
        <v>323</v>
      </c>
      <c r="M7" s="2" t="s">
        <v>294</v>
      </c>
      <c r="N7" s="2" t="s">
        <v>332</v>
      </c>
      <c r="P7" s="2" t="s">
        <v>296</v>
      </c>
      <c r="Q7" s="2" t="s">
        <v>337</v>
      </c>
      <c r="S7" s="2" t="s">
        <v>296</v>
      </c>
      <c r="T7" s="2" t="s">
        <v>351</v>
      </c>
      <c r="Y7" s="2" t="s">
        <v>282</v>
      </c>
      <c r="Z7" s="2" t="s">
        <v>327</v>
      </c>
    </row>
    <row r="8" ht="22.0" customHeight="1">
      <c r="D8" s="2" t="s">
        <v>284</v>
      </c>
      <c r="E8" s="2" t="s">
        <v>285</v>
      </c>
      <c r="G8" s="2" t="s">
        <v>298</v>
      </c>
      <c r="H8" s="2" t="s">
        <v>299</v>
      </c>
      <c r="J8" s="2" t="s">
        <v>3</v>
      </c>
      <c r="K8" s="2" t="s">
        <v>324</v>
      </c>
      <c r="P8" s="2" t="s">
        <v>298</v>
      </c>
      <c r="Q8" s="2" t="s">
        <v>338</v>
      </c>
      <c r="S8" s="2" t="s">
        <v>298</v>
      </c>
      <c r="T8" s="2" t="s">
        <v>352</v>
      </c>
      <c r="Y8" s="2" t="s">
        <v>341</v>
      </c>
      <c r="Z8" s="2" t="s">
        <v>330</v>
      </c>
    </row>
    <row r="9" ht="22.0" customHeight="1">
      <c r="G9" s="2" t="s">
        <v>300</v>
      </c>
      <c r="H9" s="2" t="s">
        <v>301</v>
      </c>
      <c r="J9" s="2" t="s">
        <v>5</v>
      </c>
      <c r="K9" s="2" t="s">
        <v>325</v>
      </c>
      <c r="P9" s="2" t="s">
        <v>339</v>
      </c>
      <c r="Q9" s="2" t="s">
        <v>340</v>
      </c>
      <c r="S9" s="2" t="s">
        <v>339</v>
      </c>
      <c r="T9" s="2" t="s">
        <v>353</v>
      </c>
      <c r="Y9" s="2" t="s">
        <v>366</v>
      </c>
      <c r="Z9" s="2" t="s">
        <v>13</v>
      </c>
    </row>
    <row r="10" ht="22.0" customHeight="1">
      <c r="G10" s="2" t="s">
        <v>302</v>
      </c>
      <c r="H10" s="2" t="s">
        <v>303</v>
      </c>
      <c r="P10" s="2" t="s">
        <v>1</v>
      </c>
      <c r="Q10" s="2" t="s">
        <v>333</v>
      </c>
      <c r="S10" s="2" t="s">
        <v>300</v>
      </c>
      <c r="T10" s="2" t="s">
        <v>354</v>
      </c>
      <c r="Y10" s="2" t="s">
        <v>367</v>
      </c>
      <c r="Z10" s="2" t="s">
        <v>368</v>
      </c>
    </row>
    <row r="11" ht="22.0" customHeight="1">
      <c r="G11" s="2" t="s">
        <v>304</v>
      </c>
      <c r="H11" s="2" t="s">
        <v>305</v>
      </c>
      <c r="P11" s="2" t="s">
        <v>3</v>
      </c>
      <c r="Q11" s="2" t="s">
        <v>334</v>
      </c>
      <c r="S11" s="2" t="s">
        <v>302</v>
      </c>
      <c r="T11" s="2" t="s">
        <v>355</v>
      </c>
      <c r="Y11" s="2" t="s">
        <v>369</v>
      </c>
      <c r="Z11" s="2" t="s">
        <v>368</v>
      </c>
    </row>
    <row r="12" ht="22.0" customHeight="1">
      <c r="G12" s="2" t="s">
        <v>306</v>
      </c>
      <c r="H12" s="2" t="s">
        <v>307</v>
      </c>
      <c r="P12" s="2" t="s">
        <v>5</v>
      </c>
      <c r="Q12" s="2" t="s">
        <v>334</v>
      </c>
      <c r="S12" s="2" t="s">
        <v>356</v>
      </c>
      <c r="T12" s="2" t="s">
        <v>357</v>
      </c>
      <c r="Y12" s="2" t="s">
        <v>370</v>
      </c>
      <c r="Z12" s="2" t="s">
        <v>368</v>
      </c>
    </row>
    <row r="13" ht="22.0" customHeight="1">
      <c r="G13" s="2" t="s">
        <v>308</v>
      </c>
      <c r="H13" s="2" t="s">
        <v>287</v>
      </c>
      <c r="P13" s="2" t="s">
        <v>7</v>
      </c>
      <c r="Q13" s="2" t="s">
        <v>335</v>
      </c>
      <c r="Y13" s="2" t="s">
        <v>14</v>
      </c>
      <c r="Z13" s="2" t="s">
        <v>332</v>
      </c>
    </row>
    <row r="14" ht="22.0" customHeight="1">
      <c r="G14" s="2" t="s">
        <v>309</v>
      </c>
      <c r="H14" s="2" t="s">
        <v>289</v>
      </c>
      <c r="P14" s="2" t="s">
        <v>14</v>
      </c>
      <c r="Q14" s="2" t="s">
        <v>336</v>
      </c>
    </row>
    <row r="15" ht="22.0" customHeight="1">
      <c r="G15" s="2" t="s">
        <v>310</v>
      </c>
      <c r="H15" s="2" t="s">
        <v>291</v>
      </c>
      <c r="P15" s="2" t="s">
        <v>282</v>
      </c>
      <c r="Q15" s="2" t="s">
        <v>337</v>
      </c>
    </row>
    <row r="16" ht="22.0" customHeight="1">
      <c r="G16" s="2" t="s">
        <v>311</v>
      </c>
      <c r="H16" s="2" t="s">
        <v>293</v>
      </c>
      <c r="P16" s="2" t="s">
        <v>341</v>
      </c>
      <c r="Q16" s="2" t="s">
        <v>338</v>
      </c>
    </row>
    <row r="17" ht="22.0" customHeight="1">
      <c r="G17" s="2" t="s">
        <v>312</v>
      </c>
      <c r="H17" s="2" t="s">
        <v>313</v>
      </c>
      <c r="P17" s="2" t="s">
        <v>284</v>
      </c>
      <c r="Q17" s="2" t="s">
        <v>340</v>
      </c>
    </row>
    <row r="18" ht="22.0" customHeight="1">
      <c r="G18" s="2" t="s">
        <v>314</v>
      </c>
      <c r="H18" s="2" t="s">
        <v>297</v>
      </c>
      <c r="P18" s="2" t="s">
        <v>342</v>
      </c>
      <c r="Q18" s="2" t="s">
        <v>342</v>
      </c>
    </row>
    <row r="19" ht="22.0" customHeight="1">
      <c r="G19" s="2" t="s">
        <v>315</v>
      </c>
      <c r="H19" s="2" t="s">
        <v>299</v>
      </c>
      <c r="P19" s="2" t="s">
        <v>343</v>
      </c>
      <c r="Q19" s="2" t="s">
        <v>343</v>
      </c>
    </row>
    <row r="20" ht="22.0" customHeight="1">
      <c r="G20" s="2" t="s">
        <v>316</v>
      </c>
      <c r="H20" s="2" t="s">
        <v>305</v>
      </c>
      <c r="P20" s="2" t="s">
        <v>344</v>
      </c>
      <c r="Q20" s="2" t="s">
        <v>345</v>
      </c>
    </row>
    <row r="21" ht="22.0" customHeight="1">
      <c r="G21" s="2" t="s">
        <v>317</v>
      </c>
      <c r="H21" s="2" t="s">
        <v>307</v>
      </c>
    </row>
  </sheetData>
  <mergeCells>
    <mergeCell ref="A1:B1"/>
    <mergeCell ref="Y1:Z1"/>
    <mergeCell ref="P1:Q1"/>
    <mergeCell ref="G1:H1"/>
    <mergeCell ref="V1:W1"/>
    <mergeCell ref="M1:N1"/>
    <mergeCell ref="D1:E1"/>
    <mergeCell ref="S1:T1"/>
    <mergeCell ref="J1:K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customWidth="true" bestFit="false"/>
    <col min="2" max="2" width="30.0" customWidth="true" bestFit="false"/>
    <col min="3" max="3" width="30.0" customWidth="true" bestFit="false"/>
    <col min="4" max="4" width="30.0" customWidth="true" bestFit="false"/>
    <col min="5" max="5" width="30.0" customWidth="true" bestFit="false"/>
    <col min="6" max="6" width="30.0" customWidth="true" bestFit="false"/>
    <col min="7" max="7" width="30.0" customWidth="true" bestFit="false"/>
    <col min="8" max="8" width="30.0" customWidth="true" bestFit="false"/>
    <col min="9" max="9" width="20.0" customWidth="true" bestFit="false"/>
    <col min="10" max="10" width="30.0" customWidth="true" bestFit="false"/>
    <col min="11" max="11" width="30.0" customWidth="true" bestFit="false"/>
    <col min="12" max="12" width="30.0" customWidth="true" bestFit="false"/>
    <col min="13" max="13" width="30.0" customWidth="true" bestFit="false"/>
    <col min="14" max="14" width="30.0" customWidth="true" bestFit="false"/>
    <col min="15" max="15" width="30.0" customWidth="true" bestFit="false"/>
    <col min="16" max="16" width="30.0" customWidth="true" bestFit="false"/>
    <col min="17" max="17" width="30.0" customWidth="true" bestFit="false"/>
    <col min="18" max="18" width="30.0" customWidth="true" bestFit="false"/>
    <col min="19" max="19" width="30.0" customWidth="true" bestFit="false"/>
    <col min="20" max="20" width="30.0" customWidth="true" bestFit="false"/>
    <col min="21" max="21" width="30.0" customWidth="true" bestFit="false"/>
    <col min="22" max="22" width="30.0" customWidth="true" bestFit="false"/>
    <col min="23" max="23" width="30.0" customWidth="true" bestFit="false"/>
    <col min="24" max="24" width="30.0" customWidth="true" bestFit="false"/>
    <col min="25" max="25" width="30.0" customWidth="true" bestFit="false"/>
    <col min="26" max="26" width="30.0" customWidth="true" bestFit="false"/>
    <col min="27" max="27" width="30.0" customWidth="true" bestFit="false"/>
    <col min="28" max="28" width="30.0" customWidth="true" bestFit="false"/>
    <col min="29" max="29" width="30.0" customWidth="true" bestFit="false"/>
    <col min="30" max="30" width="30.0" customWidth="true" bestFit="false"/>
    <col min="31" max="31" width="30.0" customWidth="true" bestFit="false"/>
    <col min="32" max="32" width="30.0" customWidth="true" bestFit="false"/>
    <col min="33" max="33" width="30.0" customWidth="true" bestFit="false"/>
    <col min="34" max="34" width="30.0" customWidth="true" bestFit="false"/>
  </cols>
  <sheetData>
    <row r="1" ht="30.0" customHeight="1">
      <c r="A1" s="3" t="s">
        <v>16</v>
      </c>
    </row>
    <row r="2" ht="22.0" customHeight="1">
      <c r="D2" s="8" t="s">
        <v>280</v>
      </c>
      <c r="E2" s="9">
        <f>COUNT(A4:A41)</f>
      </c>
      <c r="F2" s="8" t="s">
        <v>281</v>
      </c>
      <c r="G2" s="10">
        <f>SUM(Q4:Q41)</f>
      </c>
    </row>
    <row r="3" ht="20.0" customHeight="1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  <c r="U3" s="4" t="s">
        <v>37</v>
      </c>
      <c r="V3" s="4" t="s">
        <v>38</v>
      </c>
      <c r="W3" s="4" t="s">
        <v>39</v>
      </c>
      <c r="X3" s="4" t="s">
        <v>40</v>
      </c>
      <c r="Y3" s="4" t="s">
        <v>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9</v>
      </c>
      <c r="AE3" s="4" t="s">
        <v>45</v>
      </c>
      <c r="AF3" s="4" t="s">
        <v>46</v>
      </c>
      <c r="AG3" s="4" t="s">
        <v>47</v>
      </c>
      <c r="AH3" s="4" t="s">
        <v>48</v>
      </c>
    </row>
    <row r="4">
      <c r="A4" s="5">
        <f>ROW()-ROW(A3)</f>
      </c>
      <c r="B4" s="6" t="s">
        <v>49</v>
      </c>
      <c r="C4" s="6" t="n">
        <v>800611900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54</v>
      </c>
      <c r="I4" s="6" t="s">
        <v>54</v>
      </c>
      <c r="J4" s="6" t="s">
        <v>53</v>
      </c>
      <c r="K4" s="6" t="s">
        <v>54</v>
      </c>
      <c r="L4" s="6" t="s">
        <v>55</v>
      </c>
      <c r="M4" s="6" t="s">
        <v>56</v>
      </c>
      <c r="N4" s="6" t="s">
        <v>57</v>
      </c>
      <c r="O4" s="6"/>
      <c r="P4" s="6"/>
      <c r="Q4" s="7" t="n">
        <v>251000</v>
      </c>
      <c r="R4" s="7" t="n">
        <v>251000</v>
      </c>
      <c r="S4" s="6" t="s">
        <v>58</v>
      </c>
      <c r="T4" s="6" t="s">
        <v>54</v>
      </c>
      <c r="U4" s="6" t="s">
        <v>59</v>
      </c>
      <c r="V4" s="6">
        <f>VLOOKUP("02", CONFIG!$G$2:$H$24, 2, 0)</f>
      </c>
      <c r="W4" s="6"/>
      <c r="X4" s="6">
        <f>IFERROR(VLOOKUP("09", CONFIG!$S$2:$T$12, 2, 0),"")</f>
      </c>
      <c r="Y4" s="6">
        <f>IFERROR(VLOOKUP("1", CONFIG!$A$2:$B$5, 2, 0),"")</f>
      </c>
      <c r="Z4" s="6">
        <f>IF(1=1, IFERROR(VLOOKUP("06", Config!$J$2:$K$9, 2, 0),""), IFERROR(VLOOKUP("", Config!$J$2:$K$9, 2, 0),""))</f>
      </c>
      <c r="AA4" s="6" t="s">
        <v>60</v>
      </c>
      <c r="AB4" s="6">
        <f>IFERROR(VLOOKUP("", CONFIG!$M$2:$N$8, 2, 0),"")</f>
      </c>
      <c r="AC4" s="6">
        <f>IF(0=0, "", "0 tháng")</f>
      </c>
      <c r="AD4" s="6">
        <f>IFERROR(VLOOKUP("1", CONFIG!$D$2:$E$8, 2, 0),"")</f>
      </c>
      <c r="AE4" s="6" t="s">
        <v>61</v>
      </c>
      <c r="AF4" s="6" t="s">
        <v>54</v>
      </c>
      <c r="AG4" s="6" t="s">
        <v>54</v>
      </c>
      <c r="AH4" s="6" t="s">
        <v>62</v>
      </c>
    </row>
    <row r="5">
      <c r="A5" s="5">
        <f>ROW()-ROW(A3)</f>
      </c>
      <c r="B5" s="6" t="s">
        <v>63</v>
      </c>
      <c r="C5" s="6" t="n">
        <v>800593037</v>
      </c>
      <c r="D5" s="6" t="s">
        <v>50</v>
      </c>
      <c r="E5" s="6" t="s">
        <v>51</v>
      </c>
      <c r="F5" s="6" t="s">
        <v>52</v>
      </c>
      <c r="G5" s="6" t="s">
        <v>64</v>
      </c>
      <c r="H5" s="6" t="s">
        <v>54</v>
      </c>
      <c r="I5" s="6" t="s">
        <v>54</v>
      </c>
      <c r="J5" s="6" t="s">
        <v>64</v>
      </c>
      <c r="K5" s="6" t="s">
        <v>54</v>
      </c>
      <c r="L5" s="6" t="s">
        <v>65</v>
      </c>
      <c r="M5" s="6" t="s">
        <v>66</v>
      </c>
      <c r="N5" s="6" t="s">
        <v>67</v>
      </c>
      <c r="O5" s="6"/>
      <c r="P5" s="6"/>
      <c r="Q5" s="7" t="n">
        <v>278000</v>
      </c>
      <c r="R5" s="7" t="n">
        <v>278000</v>
      </c>
      <c r="S5" s="6" t="s">
        <v>68</v>
      </c>
      <c r="T5" s="6" t="s">
        <v>54</v>
      </c>
      <c r="U5" s="6" t="s">
        <v>59</v>
      </c>
      <c r="V5" s="6">
        <f>VLOOKUP("02", CONFIG!$G$2:$H$24, 2, 0)</f>
      </c>
      <c r="W5" s="6"/>
      <c r="X5" s="6">
        <f>IFERROR(VLOOKUP("09", CONFIG!$S$2:$T$12, 2, 0),"")</f>
      </c>
      <c r="Y5" s="6">
        <f>IFERROR(VLOOKUP("1", CONFIG!$A$2:$B$5, 2, 0),"")</f>
      </c>
      <c r="Z5" s="6">
        <f>IF(1=1, IFERROR(VLOOKUP("06", Config!$J$2:$K$9, 2, 0),""), IFERROR(VLOOKUP("", Config!$J$2:$K$9, 2, 0),""))</f>
      </c>
      <c r="AA5" s="6" t="s">
        <v>60</v>
      </c>
      <c r="AB5" s="6">
        <f>IFERROR(VLOOKUP("", CONFIG!$M$2:$N$8, 2, 0),"")</f>
      </c>
      <c r="AC5" s="6">
        <f>IF(0=0, "", "0 tháng")</f>
      </c>
      <c r="AD5" s="6">
        <f>IFERROR(VLOOKUP("1", CONFIG!$D$2:$E$8, 2, 0),"")</f>
      </c>
      <c r="AE5" s="6" t="s">
        <v>69</v>
      </c>
      <c r="AF5" s="6" t="s">
        <v>54</v>
      </c>
      <c r="AG5" s="6" t="s">
        <v>54</v>
      </c>
      <c r="AH5" s="6" t="s">
        <v>62</v>
      </c>
    </row>
    <row r="6">
      <c r="A6" s="5">
        <f>ROW()-ROW(A3)</f>
      </c>
      <c r="B6" s="6" t="s">
        <v>70</v>
      </c>
      <c r="C6" s="6" t="n">
        <v>800588728</v>
      </c>
      <c r="D6" s="6" t="s">
        <v>50</v>
      </c>
      <c r="E6" s="6" t="s">
        <v>51</v>
      </c>
      <c r="F6" s="6" t="s">
        <v>52</v>
      </c>
      <c r="G6" s="6" t="s">
        <v>71</v>
      </c>
      <c r="H6" s="6" t="s">
        <v>54</v>
      </c>
      <c r="I6" s="6" t="s">
        <v>54</v>
      </c>
      <c r="J6" s="6" t="s">
        <v>71</v>
      </c>
      <c r="K6" s="6" t="s">
        <v>54</v>
      </c>
      <c r="L6" s="6" t="s">
        <v>65</v>
      </c>
      <c r="M6" s="6" t="s">
        <v>66</v>
      </c>
      <c r="N6" s="6" t="s">
        <v>67</v>
      </c>
      <c r="O6" s="6"/>
      <c r="P6" s="6"/>
      <c r="Q6" s="7" t="n">
        <v>274000</v>
      </c>
      <c r="R6" s="7" t="n">
        <v>274000</v>
      </c>
      <c r="S6" s="6" t="s">
        <v>72</v>
      </c>
      <c r="T6" s="6" t="s">
        <v>54</v>
      </c>
      <c r="U6" s="6" t="s">
        <v>59</v>
      </c>
      <c r="V6" s="6">
        <f>VLOOKUP("02", CONFIG!$G$2:$H$24, 2, 0)</f>
      </c>
      <c r="W6" s="6"/>
      <c r="X6" s="6">
        <f>IFERROR(VLOOKUP("09", CONFIG!$S$2:$T$12, 2, 0),"")</f>
      </c>
      <c r="Y6" s="6">
        <f>IFERROR(VLOOKUP("1", CONFIG!$A$2:$B$5, 2, 0),"")</f>
      </c>
      <c r="Z6" s="6">
        <f>IF(1=1, IFERROR(VLOOKUP("06", Config!$J$2:$K$9, 2, 0),""), IFERROR(VLOOKUP("", Config!$J$2:$K$9, 2, 0),""))</f>
      </c>
      <c r="AA6" s="6" t="s">
        <v>60</v>
      </c>
      <c r="AB6" s="6">
        <f>IFERROR(VLOOKUP("", CONFIG!$M$2:$N$8, 2, 0),"")</f>
      </c>
      <c r="AC6" s="6">
        <f>IF(0=0, "", "0 tháng")</f>
      </c>
      <c r="AD6" s="6">
        <f>IFERROR(VLOOKUP("1", CONFIG!$D$2:$E$8, 2, 0),"")</f>
      </c>
      <c r="AE6" s="6" t="s">
        <v>73</v>
      </c>
      <c r="AF6" s="6" t="s">
        <v>54</v>
      </c>
      <c r="AG6" s="6" t="s">
        <v>54</v>
      </c>
      <c r="AH6" s="6" t="s">
        <v>62</v>
      </c>
    </row>
    <row r="7">
      <c r="A7" s="5">
        <f>ROW()-ROW(A3)</f>
      </c>
      <c r="B7" s="6" t="s">
        <v>74</v>
      </c>
      <c r="C7" s="6" t="n">
        <v>800586636</v>
      </c>
      <c r="D7" s="6" t="s">
        <v>50</v>
      </c>
      <c r="E7" s="6" t="s">
        <v>51</v>
      </c>
      <c r="F7" s="6" t="s">
        <v>52</v>
      </c>
      <c r="G7" s="6" t="s">
        <v>75</v>
      </c>
      <c r="H7" s="6" t="s">
        <v>54</v>
      </c>
      <c r="I7" s="6" t="s">
        <v>54</v>
      </c>
      <c r="J7" s="6" t="s">
        <v>75</v>
      </c>
      <c r="K7" s="6" t="s">
        <v>54</v>
      </c>
      <c r="L7" s="6" t="s">
        <v>76</v>
      </c>
      <c r="M7" s="6" t="s">
        <v>77</v>
      </c>
      <c r="N7" s="6" t="s">
        <v>78</v>
      </c>
      <c r="O7" s="6"/>
      <c r="P7" s="6"/>
      <c r="Q7" s="7" t="n">
        <v>1075000</v>
      </c>
      <c r="R7" s="7" t="n">
        <v>1075000</v>
      </c>
      <c r="S7" s="6" t="s">
        <v>79</v>
      </c>
      <c r="T7" s="6" t="s">
        <v>54</v>
      </c>
      <c r="U7" s="6" t="s">
        <v>59</v>
      </c>
      <c r="V7" s="6">
        <f>VLOOKUP("02", CONFIG!$G$2:$H$24, 2, 0)</f>
      </c>
      <c r="W7" s="6"/>
      <c r="X7" s="6">
        <f>IFERROR(VLOOKUP("09", CONFIG!$S$2:$T$12, 2, 0),"")</f>
      </c>
      <c r="Y7" s="6">
        <f>IFERROR(VLOOKUP("1", CONFIG!$A$2:$B$5, 2, 0),"")</f>
      </c>
      <c r="Z7" s="6">
        <f>IF(1=1, IFERROR(VLOOKUP("06", Config!$J$2:$K$9, 2, 0),""), IFERROR(VLOOKUP("", Config!$J$2:$K$9, 2, 0),""))</f>
      </c>
      <c r="AA7" s="6" t="s">
        <v>60</v>
      </c>
      <c r="AB7" s="6">
        <f>IFERROR(VLOOKUP("", CONFIG!$M$2:$N$8, 2, 0),"")</f>
      </c>
      <c r="AC7" s="6">
        <f>IF(0=0, "", "0 tháng")</f>
      </c>
      <c r="AD7" s="6">
        <f>IFERROR(VLOOKUP("1", CONFIG!$D$2:$E$8, 2, 0),"")</f>
      </c>
      <c r="AE7" s="6" t="s">
        <v>80</v>
      </c>
      <c r="AF7" s="6" t="s">
        <v>54</v>
      </c>
      <c r="AG7" s="6" t="s">
        <v>54</v>
      </c>
      <c r="AH7" s="6" t="s">
        <v>62</v>
      </c>
    </row>
    <row r="8">
      <c r="A8" s="5">
        <f>ROW()-ROW(A3)</f>
      </c>
      <c r="B8" s="6" t="s">
        <v>81</v>
      </c>
      <c r="C8" s="6" t="n">
        <v>800583099</v>
      </c>
      <c r="D8" s="6" t="s">
        <v>50</v>
      </c>
      <c r="E8" s="6" t="s">
        <v>51</v>
      </c>
      <c r="F8" s="6" t="s">
        <v>52</v>
      </c>
      <c r="G8" s="6" t="s">
        <v>82</v>
      </c>
      <c r="H8" s="6" t="s">
        <v>54</v>
      </c>
      <c r="I8" s="6" t="s">
        <v>54</v>
      </c>
      <c r="J8" s="6" t="s">
        <v>82</v>
      </c>
      <c r="K8" s="6" t="s">
        <v>54</v>
      </c>
      <c r="L8" s="6" t="s">
        <v>83</v>
      </c>
      <c r="M8" s="6" t="s">
        <v>84</v>
      </c>
      <c r="N8" s="6" t="s">
        <v>85</v>
      </c>
      <c r="O8" s="6"/>
      <c r="P8" s="6"/>
      <c r="Q8" s="7" t="n">
        <v>296000</v>
      </c>
      <c r="R8" s="7" t="n">
        <v>296000</v>
      </c>
      <c r="S8" s="6" t="s">
        <v>86</v>
      </c>
      <c r="T8" s="6" t="s">
        <v>54</v>
      </c>
      <c r="U8" s="6" t="s">
        <v>59</v>
      </c>
      <c r="V8" s="6">
        <f>VLOOKUP("02", CONFIG!$G$2:$H$24, 2, 0)</f>
      </c>
      <c r="W8" s="6"/>
      <c r="X8" s="6">
        <f>IFERROR(VLOOKUP("09", CONFIG!$S$2:$T$12, 2, 0),"")</f>
      </c>
      <c r="Y8" s="6">
        <f>IFERROR(VLOOKUP("1", CONFIG!$A$2:$B$5, 2, 0),"")</f>
      </c>
      <c r="Z8" s="6">
        <f>IF(1=1, IFERROR(VLOOKUP("06", Config!$J$2:$K$9, 2, 0),""), IFERROR(VLOOKUP("", Config!$J$2:$K$9, 2, 0),""))</f>
      </c>
      <c r="AA8" s="6" t="s">
        <v>60</v>
      </c>
      <c r="AB8" s="6">
        <f>IFERROR(VLOOKUP("", CONFIG!$M$2:$N$8, 2, 0),"")</f>
      </c>
      <c r="AC8" s="6">
        <f>IF(0=0, "", "0 tháng")</f>
      </c>
      <c r="AD8" s="6">
        <f>IFERROR(VLOOKUP("1", CONFIG!$D$2:$E$8, 2, 0),"")</f>
      </c>
      <c r="AE8" s="6" t="s">
        <v>87</v>
      </c>
      <c r="AF8" s="6" t="s">
        <v>54</v>
      </c>
      <c r="AG8" s="6" t="s">
        <v>54</v>
      </c>
      <c r="AH8" s="6" t="s">
        <v>62</v>
      </c>
    </row>
    <row r="9">
      <c r="A9" s="5">
        <f>ROW()-ROW(A3)</f>
      </c>
      <c r="B9" s="6" t="s">
        <v>88</v>
      </c>
      <c r="C9" s="6" t="n">
        <v>800577002</v>
      </c>
      <c r="D9" s="6" t="s">
        <v>50</v>
      </c>
      <c r="E9" s="6" t="s">
        <v>51</v>
      </c>
      <c r="F9" s="6" t="s">
        <v>52</v>
      </c>
      <c r="G9" s="6" t="s">
        <v>89</v>
      </c>
      <c r="H9" s="6" t="s">
        <v>54</v>
      </c>
      <c r="I9" s="6" t="s">
        <v>54</v>
      </c>
      <c r="J9" s="6" t="s">
        <v>89</v>
      </c>
      <c r="K9" s="6" t="s">
        <v>54</v>
      </c>
      <c r="L9" s="6" t="s">
        <v>90</v>
      </c>
      <c r="M9" s="6" t="s">
        <v>91</v>
      </c>
      <c r="N9" s="6" t="s">
        <v>92</v>
      </c>
      <c r="O9" s="6"/>
      <c r="P9" s="6"/>
      <c r="Q9" s="7" t="n">
        <v>295000</v>
      </c>
      <c r="R9" s="7" t="n">
        <v>295000</v>
      </c>
      <c r="S9" s="6" t="s">
        <v>93</v>
      </c>
      <c r="T9" s="6" t="s">
        <v>54</v>
      </c>
      <c r="U9" s="6" t="s">
        <v>59</v>
      </c>
      <c r="V9" s="6">
        <f>VLOOKUP("02", CONFIG!$G$2:$H$24, 2, 0)</f>
      </c>
      <c r="W9" s="6"/>
      <c r="X9" s="6">
        <f>IFERROR(VLOOKUP("09", CONFIG!$S$2:$T$12, 2, 0),"")</f>
      </c>
      <c r="Y9" s="6">
        <f>IFERROR(VLOOKUP("1", CONFIG!$A$2:$B$5, 2, 0),"")</f>
      </c>
      <c r="Z9" s="6">
        <f>IF(1=1, IFERROR(VLOOKUP("06", Config!$J$2:$K$9, 2, 0),""), IFERROR(VLOOKUP("", Config!$J$2:$K$9, 2, 0),""))</f>
      </c>
      <c r="AA9" s="6" t="s">
        <v>60</v>
      </c>
      <c r="AB9" s="6">
        <f>IFERROR(VLOOKUP("", CONFIG!$M$2:$N$8, 2, 0),"")</f>
      </c>
      <c r="AC9" s="6">
        <f>IF(0=0, "", "0 tháng")</f>
      </c>
      <c r="AD9" s="6">
        <f>IFERROR(VLOOKUP("1", CONFIG!$D$2:$E$8, 2, 0),"")</f>
      </c>
      <c r="AE9" s="6" t="s">
        <v>94</v>
      </c>
      <c r="AF9" s="6" t="s">
        <v>54</v>
      </c>
      <c r="AG9" s="6" t="s">
        <v>54</v>
      </c>
      <c r="AH9" s="6" t="s">
        <v>62</v>
      </c>
    </row>
    <row r="10">
      <c r="A10" s="5">
        <f>ROW()-ROW(A3)</f>
      </c>
      <c r="B10" s="6" t="s">
        <v>95</v>
      </c>
      <c r="C10" s="6" t="n">
        <v>800528230</v>
      </c>
      <c r="D10" s="6" t="s">
        <v>50</v>
      </c>
      <c r="E10" s="6" t="s">
        <v>51</v>
      </c>
      <c r="F10" s="6" t="s">
        <v>52</v>
      </c>
      <c r="G10" s="6" t="s">
        <v>96</v>
      </c>
      <c r="H10" s="6" t="s">
        <v>54</v>
      </c>
      <c r="I10" s="6" t="s">
        <v>54</v>
      </c>
      <c r="J10" s="6" t="s">
        <v>96</v>
      </c>
      <c r="K10" s="6" t="s">
        <v>54</v>
      </c>
      <c r="L10" s="6" t="s">
        <v>65</v>
      </c>
      <c r="M10" s="6" t="s">
        <v>66</v>
      </c>
      <c r="N10" s="6" t="s">
        <v>67</v>
      </c>
      <c r="O10" s="6"/>
      <c r="P10" s="6"/>
      <c r="Q10" s="7" t="n">
        <v>276000</v>
      </c>
      <c r="R10" s="7" t="n">
        <v>276000</v>
      </c>
      <c r="S10" s="6" t="s">
        <v>97</v>
      </c>
      <c r="T10" s="6" t="s">
        <v>54</v>
      </c>
      <c r="U10" s="6" t="s">
        <v>59</v>
      </c>
      <c r="V10" s="6">
        <f>VLOOKUP("02", CONFIG!$G$2:$H$24, 2, 0)</f>
      </c>
      <c r="W10" s="6"/>
      <c r="X10" s="6">
        <f>IFERROR(VLOOKUP("09", CONFIG!$S$2:$T$12, 2, 0),"")</f>
      </c>
      <c r="Y10" s="6">
        <f>IFERROR(VLOOKUP("1", CONFIG!$A$2:$B$5, 2, 0),"")</f>
      </c>
      <c r="Z10" s="6">
        <f>IF(1=1, IFERROR(VLOOKUP("06", Config!$J$2:$K$9, 2, 0),""), IFERROR(VLOOKUP("", Config!$J$2:$K$9, 2, 0),""))</f>
      </c>
      <c r="AA10" s="6" t="s">
        <v>60</v>
      </c>
      <c r="AB10" s="6">
        <f>IFERROR(VLOOKUP("", CONFIG!$M$2:$N$8, 2, 0),"")</f>
      </c>
      <c r="AC10" s="6">
        <f>IF(0=0, "", "0 tháng")</f>
      </c>
      <c r="AD10" s="6">
        <f>IFERROR(VLOOKUP("1", CONFIG!$D$2:$E$8, 2, 0),"")</f>
      </c>
      <c r="AE10" s="6" t="s">
        <v>98</v>
      </c>
      <c r="AF10" s="6" t="s">
        <v>54</v>
      </c>
      <c r="AG10" s="6" t="s">
        <v>54</v>
      </c>
      <c r="AH10" s="6" t="s">
        <v>62</v>
      </c>
    </row>
    <row r="11">
      <c r="A11" s="5">
        <f>ROW()-ROW(A3)</f>
      </c>
      <c r="B11" s="6" t="s">
        <v>99</v>
      </c>
      <c r="C11" s="6" t="n">
        <v>800462591</v>
      </c>
      <c r="D11" s="6" t="s">
        <v>50</v>
      </c>
      <c r="E11" s="6" t="s">
        <v>51</v>
      </c>
      <c r="F11" s="6" t="s">
        <v>52</v>
      </c>
      <c r="G11" s="6" t="s">
        <v>100</v>
      </c>
      <c r="H11" s="6" t="s">
        <v>54</v>
      </c>
      <c r="I11" s="6" t="s">
        <v>54</v>
      </c>
      <c r="J11" s="6" t="s">
        <v>100</v>
      </c>
      <c r="K11" s="6" t="s">
        <v>54</v>
      </c>
      <c r="L11" s="6" t="s">
        <v>101</v>
      </c>
      <c r="M11" s="6" t="s">
        <v>102</v>
      </c>
      <c r="N11" s="6" t="s">
        <v>103</v>
      </c>
      <c r="O11" s="6"/>
      <c r="P11" s="6"/>
      <c r="Q11" s="7" t="n">
        <v>252000</v>
      </c>
      <c r="R11" s="7" t="n">
        <v>252000</v>
      </c>
      <c r="S11" s="6" t="s">
        <v>104</v>
      </c>
      <c r="T11" s="6" t="s">
        <v>54</v>
      </c>
      <c r="U11" s="6" t="s">
        <v>59</v>
      </c>
      <c r="V11" s="6">
        <f>VLOOKUP("02", CONFIG!$G$2:$H$24, 2, 0)</f>
      </c>
      <c r="W11" s="6"/>
      <c r="X11" s="6">
        <f>IFERROR(VLOOKUP("09", CONFIG!$S$2:$T$12, 2, 0),"")</f>
      </c>
      <c r="Y11" s="6">
        <f>IFERROR(VLOOKUP("1", CONFIG!$A$2:$B$5, 2, 0),"")</f>
      </c>
      <c r="Z11" s="6">
        <f>IF(1=1, IFERROR(VLOOKUP("06", Config!$J$2:$K$9, 2, 0),""), IFERROR(VLOOKUP("", Config!$J$2:$K$9, 2, 0),""))</f>
      </c>
      <c r="AA11" s="6" t="s">
        <v>60</v>
      </c>
      <c r="AB11" s="6">
        <f>IFERROR(VLOOKUP("", CONFIG!$M$2:$N$8, 2, 0),"")</f>
      </c>
      <c r="AC11" s="6">
        <f>IF(0=0, "", "0 tháng")</f>
      </c>
      <c r="AD11" s="6">
        <f>IFERROR(VLOOKUP("1", CONFIG!$D$2:$E$8, 2, 0),"")</f>
      </c>
      <c r="AE11" s="6" t="s">
        <v>105</v>
      </c>
      <c r="AF11" s="6" t="s">
        <v>54</v>
      </c>
      <c r="AG11" s="6" t="s">
        <v>54</v>
      </c>
      <c r="AH11" s="6" t="s">
        <v>62</v>
      </c>
    </row>
    <row r="12">
      <c r="A12" s="5">
        <f>ROW()-ROW(A3)</f>
      </c>
      <c r="B12" s="6" t="s">
        <v>106</v>
      </c>
      <c r="C12" s="6" t="n">
        <v>800356325</v>
      </c>
      <c r="D12" s="6" t="s">
        <v>50</v>
      </c>
      <c r="E12" s="6" t="s">
        <v>51</v>
      </c>
      <c r="F12" s="6" t="s">
        <v>52</v>
      </c>
      <c r="G12" s="6" t="s">
        <v>107</v>
      </c>
      <c r="H12" s="6" t="s">
        <v>54</v>
      </c>
      <c r="I12" s="6" t="s">
        <v>54</v>
      </c>
      <c r="J12" s="6" t="s">
        <v>107</v>
      </c>
      <c r="K12" s="6" t="s">
        <v>54</v>
      </c>
      <c r="L12" s="6" t="s">
        <v>108</v>
      </c>
      <c r="M12" s="6" t="s">
        <v>109</v>
      </c>
      <c r="N12" s="6" t="s">
        <v>110</v>
      </c>
      <c r="O12" s="6"/>
      <c r="P12" s="6"/>
      <c r="Q12" s="7" t="n">
        <v>310000</v>
      </c>
      <c r="R12" s="7" t="n">
        <v>310000</v>
      </c>
      <c r="S12" s="6" t="s">
        <v>111</v>
      </c>
      <c r="T12" s="6" t="s">
        <v>54</v>
      </c>
      <c r="U12" s="6" t="s">
        <v>59</v>
      </c>
      <c r="V12" s="6">
        <f>VLOOKUP("02", CONFIG!$G$2:$H$24, 2, 0)</f>
      </c>
      <c r="W12" s="6"/>
      <c r="X12" s="6">
        <f>IFERROR(VLOOKUP("09", CONFIG!$S$2:$T$12, 2, 0),"")</f>
      </c>
      <c r="Y12" s="6">
        <f>IFERROR(VLOOKUP("1", CONFIG!$A$2:$B$5, 2, 0),"")</f>
      </c>
      <c r="Z12" s="6">
        <f>IF(1=1, IFERROR(VLOOKUP("06", Config!$J$2:$K$9, 2, 0),""), IFERROR(VLOOKUP("", Config!$J$2:$K$9, 2, 0),""))</f>
      </c>
      <c r="AA12" s="6" t="s">
        <v>60</v>
      </c>
      <c r="AB12" s="6">
        <f>IFERROR(VLOOKUP("", CONFIG!$M$2:$N$8, 2, 0),"")</f>
      </c>
      <c r="AC12" s="6">
        <f>IF(0=0, "", "0 tháng")</f>
      </c>
      <c r="AD12" s="6">
        <f>IFERROR(VLOOKUP("1", CONFIG!$D$2:$E$8, 2, 0),"")</f>
      </c>
      <c r="AE12" s="6" t="s">
        <v>112</v>
      </c>
      <c r="AF12" s="6" t="s">
        <v>54</v>
      </c>
      <c r="AG12" s="6" t="s">
        <v>54</v>
      </c>
      <c r="AH12" s="6" t="s">
        <v>62</v>
      </c>
    </row>
    <row r="13">
      <c r="A13" s="5">
        <f>ROW()-ROW(A3)</f>
      </c>
      <c r="B13" s="6" t="s">
        <v>113</v>
      </c>
      <c r="C13" s="6" t="n">
        <v>800351939</v>
      </c>
      <c r="D13" s="6" t="s">
        <v>50</v>
      </c>
      <c r="E13" s="6" t="s">
        <v>51</v>
      </c>
      <c r="F13" s="6" t="s">
        <v>52</v>
      </c>
      <c r="G13" s="6" t="s">
        <v>114</v>
      </c>
      <c r="H13" s="6" t="s">
        <v>54</v>
      </c>
      <c r="I13" s="6" t="s">
        <v>54</v>
      </c>
      <c r="J13" s="6" t="s">
        <v>114</v>
      </c>
      <c r="K13" s="6" t="s">
        <v>54</v>
      </c>
      <c r="L13" s="6" t="s">
        <v>115</v>
      </c>
      <c r="M13" s="6" t="s">
        <v>116</v>
      </c>
      <c r="N13" s="6" t="s">
        <v>117</v>
      </c>
      <c r="O13" s="6"/>
      <c r="P13" s="6"/>
      <c r="Q13" s="7" t="n">
        <v>269000</v>
      </c>
      <c r="R13" s="7" t="n">
        <v>269000</v>
      </c>
      <c r="S13" s="6" t="s">
        <v>118</v>
      </c>
      <c r="T13" s="6" t="s">
        <v>54</v>
      </c>
      <c r="U13" s="6" t="s">
        <v>59</v>
      </c>
      <c r="V13" s="6">
        <f>VLOOKUP("02", CONFIG!$G$2:$H$24, 2, 0)</f>
      </c>
      <c r="W13" s="6"/>
      <c r="X13" s="6">
        <f>IFERROR(VLOOKUP("09", CONFIG!$S$2:$T$12, 2, 0),"")</f>
      </c>
      <c r="Y13" s="6">
        <f>IFERROR(VLOOKUP("1", CONFIG!$A$2:$B$5, 2, 0),"")</f>
      </c>
      <c r="Z13" s="6">
        <f>IF(1=1, IFERROR(VLOOKUP("06", Config!$J$2:$K$9, 2, 0),""), IFERROR(VLOOKUP("", Config!$J$2:$K$9, 2, 0),""))</f>
      </c>
      <c r="AA13" s="6" t="s">
        <v>60</v>
      </c>
      <c r="AB13" s="6">
        <f>IFERROR(VLOOKUP("", CONFIG!$M$2:$N$8, 2, 0),"")</f>
      </c>
      <c r="AC13" s="6">
        <f>IF(0=0, "", "0 tháng")</f>
      </c>
      <c r="AD13" s="6">
        <f>IFERROR(VLOOKUP("1", CONFIG!$D$2:$E$8, 2, 0),"")</f>
      </c>
      <c r="AE13" s="6" t="s">
        <v>119</v>
      </c>
      <c r="AF13" s="6" t="s">
        <v>54</v>
      </c>
      <c r="AG13" s="6" t="s">
        <v>54</v>
      </c>
      <c r="AH13" s="6" t="s">
        <v>62</v>
      </c>
    </row>
    <row r="14">
      <c r="A14" s="5">
        <f>ROW()-ROW(A3)</f>
      </c>
      <c r="B14" s="6" t="s">
        <v>120</v>
      </c>
      <c r="C14" s="6" t="n">
        <v>800322024</v>
      </c>
      <c r="D14" s="6" t="s">
        <v>50</v>
      </c>
      <c r="E14" s="6" t="s">
        <v>51</v>
      </c>
      <c r="F14" s="6" t="s">
        <v>52</v>
      </c>
      <c r="G14" s="6" t="s">
        <v>121</v>
      </c>
      <c r="H14" s="6" t="s">
        <v>54</v>
      </c>
      <c r="I14" s="6" t="s">
        <v>54</v>
      </c>
      <c r="J14" s="6" t="s">
        <v>121</v>
      </c>
      <c r="K14" s="6" t="s">
        <v>54</v>
      </c>
      <c r="L14" s="6" t="s">
        <v>108</v>
      </c>
      <c r="M14" s="6" t="s">
        <v>109</v>
      </c>
      <c r="N14" s="6" t="s">
        <v>110</v>
      </c>
      <c r="O14" s="6"/>
      <c r="P14" s="6"/>
      <c r="Q14" s="7" t="n">
        <v>300000</v>
      </c>
      <c r="R14" s="7" t="n">
        <v>300000</v>
      </c>
      <c r="S14" s="6" t="s">
        <v>122</v>
      </c>
      <c r="T14" s="6" t="s">
        <v>123</v>
      </c>
      <c r="U14" s="6" t="s">
        <v>59</v>
      </c>
      <c r="V14" s="6">
        <f>VLOOKUP("02", CONFIG!$G$2:$H$24, 2, 0)</f>
      </c>
      <c r="W14" s="6"/>
      <c r="X14" s="6">
        <f>IFERROR(VLOOKUP("09", CONFIG!$S$2:$T$12, 2, 0),"")</f>
      </c>
      <c r="Y14" s="6">
        <f>IFERROR(VLOOKUP("1", CONFIG!$A$2:$B$5, 2, 0),"")</f>
      </c>
      <c r="Z14" s="6">
        <f>IF(1=1, IFERROR(VLOOKUP("06", Config!$J$2:$K$9, 2, 0),""), IFERROR(VLOOKUP("", Config!$J$2:$K$9, 2, 0),""))</f>
      </c>
      <c r="AA14" s="6" t="s">
        <v>60</v>
      </c>
      <c r="AB14" s="6">
        <f>IFERROR(VLOOKUP("", CONFIG!$M$2:$N$8, 2, 0),"")</f>
      </c>
      <c r="AC14" s="6">
        <f>IF(0=0, "", "0 tháng")</f>
      </c>
      <c r="AD14" s="6">
        <f>IFERROR(VLOOKUP("1", CONFIG!$D$2:$E$8, 2, 0),"")</f>
      </c>
      <c r="AE14" s="6" t="s">
        <v>124</v>
      </c>
      <c r="AF14" s="6" t="s">
        <v>123</v>
      </c>
      <c r="AG14" s="6" t="s">
        <v>123</v>
      </c>
      <c r="AH14" s="6" t="s">
        <v>62</v>
      </c>
    </row>
    <row r="15">
      <c r="A15" s="5">
        <f>ROW()-ROW(A3)</f>
      </c>
      <c r="B15" s="6" t="s">
        <v>125</v>
      </c>
      <c r="C15" s="6" t="n">
        <v>800283492</v>
      </c>
      <c r="D15" s="6" t="s">
        <v>50</v>
      </c>
      <c r="E15" s="6" t="s">
        <v>51</v>
      </c>
      <c r="F15" s="6" t="s">
        <v>52</v>
      </c>
      <c r="G15" s="6" t="s">
        <v>126</v>
      </c>
      <c r="H15" s="6" t="s">
        <v>54</v>
      </c>
      <c r="I15" s="6" t="s">
        <v>54</v>
      </c>
      <c r="J15" s="6" t="s">
        <v>126</v>
      </c>
      <c r="K15" s="6" t="s">
        <v>54</v>
      </c>
      <c r="L15" s="6" t="s">
        <v>127</v>
      </c>
      <c r="M15" s="6" t="s">
        <v>128</v>
      </c>
      <c r="N15" s="6" t="s">
        <v>129</v>
      </c>
      <c r="O15" s="6"/>
      <c r="P15" s="6"/>
      <c r="Q15" s="7" t="n">
        <v>10002000</v>
      </c>
      <c r="R15" s="7" t="n">
        <v>10002000</v>
      </c>
      <c r="S15" s="6" t="s">
        <v>130</v>
      </c>
      <c r="T15" s="6" t="s">
        <v>54</v>
      </c>
      <c r="U15" s="6" t="s">
        <v>59</v>
      </c>
      <c r="V15" s="6">
        <f>VLOOKUP("02", CONFIG!$G$2:$H$24, 2, 0)</f>
      </c>
      <c r="W15" s="6"/>
      <c r="X15" s="6">
        <f>IFERROR(VLOOKUP("09", CONFIG!$S$2:$T$12, 2, 0),"")</f>
      </c>
      <c r="Y15" s="6">
        <f>IFERROR(VLOOKUP("1", CONFIG!$A$2:$B$5, 2, 0),"")</f>
      </c>
      <c r="Z15" s="6">
        <f>IF(1=1, IFERROR(VLOOKUP("06", Config!$J$2:$K$9, 2, 0),""), IFERROR(VLOOKUP("", Config!$J$2:$K$9, 2, 0),""))</f>
      </c>
      <c r="AA15" s="6" t="s">
        <v>60</v>
      </c>
      <c r="AB15" s="6">
        <f>IFERROR(VLOOKUP("", CONFIG!$M$2:$N$8, 2, 0),"")</f>
      </c>
      <c r="AC15" s="6">
        <f>IF(0=0, "", "0 tháng")</f>
      </c>
      <c r="AD15" s="6">
        <f>IFERROR(VLOOKUP("1", CONFIG!$D$2:$E$8, 2, 0),"")</f>
      </c>
      <c r="AE15" s="6" t="s">
        <v>131</v>
      </c>
      <c r="AF15" s="6" t="s">
        <v>54</v>
      </c>
      <c r="AG15" s="6" t="s">
        <v>54</v>
      </c>
      <c r="AH15" s="6" t="s">
        <v>62</v>
      </c>
    </row>
    <row r="16">
      <c r="A16" s="5">
        <f>ROW()-ROW(A3)</f>
      </c>
      <c r="B16" s="6" t="s">
        <v>132</v>
      </c>
      <c r="C16" s="6" t="n">
        <v>800214030</v>
      </c>
      <c r="D16" s="6" t="s">
        <v>50</v>
      </c>
      <c r="E16" s="6" t="s">
        <v>51</v>
      </c>
      <c r="F16" s="6" t="s">
        <v>52</v>
      </c>
      <c r="G16" s="6" t="s">
        <v>133</v>
      </c>
      <c r="H16" s="6" t="s">
        <v>54</v>
      </c>
      <c r="I16" s="6" t="s">
        <v>54</v>
      </c>
      <c r="J16" s="6" t="s">
        <v>133</v>
      </c>
      <c r="K16" s="6" t="s">
        <v>54</v>
      </c>
      <c r="L16" s="6" t="s">
        <v>134</v>
      </c>
      <c r="M16" s="6" t="s">
        <v>135</v>
      </c>
      <c r="N16" s="6" t="s">
        <v>136</v>
      </c>
      <c r="O16" s="6"/>
      <c r="P16" s="6"/>
      <c r="Q16" s="7" t="n">
        <v>289000</v>
      </c>
      <c r="R16" s="7" t="n">
        <v>289000</v>
      </c>
      <c r="S16" s="6" t="s">
        <v>137</v>
      </c>
      <c r="T16" s="6" t="s">
        <v>54</v>
      </c>
      <c r="U16" s="6" t="s">
        <v>59</v>
      </c>
      <c r="V16" s="6">
        <f>VLOOKUP("02", CONFIG!$G$2:$H$24, 2, 0)</f>
      </c>
      <c r="W16" s="6"/>
      <c r="X16" s="6">
        <f>IFERROR(VLOOKUP("09", CONFIG!$S$2:$T$12, 2, 0),"")</f>
      </c>
      <c r="Y16" s="6">
        <f>IFERROR(VLOOKUP("1", CONFIG!$A$2:$B$5, 2, 0),"")</f>
      </c>
      <c r="Z16" s="6">
        <f>IF(1=1, IFERROR(VLOOKUP("06", Config!$J$2:$K$9, 2, 0),""), IFERROR(VLOOKUP("", Config!$J$2:$K$9, 2, 0),""))</f>
      </c>
      <c r="AA16" s="6" t="s">
        <v>60</v>
      </c>
      <c r="AB16" s="6">
        <f>IFERROR(VLOOKUP("", CONFIG!$M$2:$N$8, 2, 0),"")</f>
      </c>
      <c r="AC16" s="6">
        <f>IF(0=0, "", "0 tháng")</f>
      </c>
      <c r="AD16" s="6">
        <f>IFERROR(VLOOKUP("1", CONFIG!$D$2:$E$8, 2, 0),"")</f>
      </c>
      <c r="AE16" s="6" t="s">
        <v>138</v>
      </c>
      <c r="AF16" s="6" t="s">
        <v>54</v>
      </c>
      <c r="AG16" s="6" t="s">
        <v>54</v>
      </c>
      <c r="AH16" s="6" t="s">
        <v>62</v>
      </c>
    </row>
    <row r="17">
      <c r="A17" s="5">
        <f>ROW()-ROW(A3)</f>
      </c>
      <c r="B17" s="6" t="s">
        <v>139</v>
      </c>
      <c r="C17" s="6" t="n">
        <v>800213292</v>
      </c>
      <c r="D17" s="6" t="s">
        <v>50</v>
      </c>
      <c r="E17" s="6" t="s">
        <v>51</v>
      </c>
      <c r="F17" s="6" t="s">
        <v>52</v>
      </c>
      <c r="G17" s="6" t="s">
        <v>140</v>
      </c>
      <c r="H17" s="6" t="s">
        <v>54</v>
      </c>
      <c r="I17" s="6" t="s">
        <v>54</v>
      </c>
      <c r="J17" s="6" t="s">
        <v>140</v>
      </c>
      <c r="K17" s="6" t="s">
        <v>54</v>
      </c>
      <c r="L17" s="6" t="s">
        <v>141</v>
      </c>
      <c r="M17" s="6" t="s">
        <v>142</v>
      </c>
      <c r="N17" s="6" t="s">
        <v>143</v>
      </c>
      <c r="O17" s="6"/>
      <c r="P17" s="6"/>
      <c r="Q17" s="7" t="n">
        <v>293000</v>
      </c>
      <c r="R17" s="7" t="n">
        <v>293000</v>
      </c>
      <c r="S17" s="6" t="s">
        <v>144</v>
      </c>
      <c r="T17" s="6" t="s">
        <v>54</v>
      </c>
      <c r="U17" s="6" t="s">
        <v>59</v>
      </c>
      <c r="V17" s="6">
        <f>VLOOKUP("02", CONFIG!$G$2:$H$24, 2, 0)</f>
      </c>
      <c r="W17" s="6"/>
      <c r="X17" s="6">
        <f>IFERROR(VLOOKUP("09", CONFIG!$S$2:$T$12, 2, 0),"")</f>
      </c>
      <c r="Y17" s="6">
        <f>IFERROR(VLOOKUP("1", CONFIG!$A$2:$B$5, 2, 0),"")</f>
      </c>
      <c r="Z17" s="6">
        <f>IF(1=1, IFERROR(VLOOKUP("06", Config!$J$2:$K$9, 2, 0),""), IFERROR(VLOOKUP("", Config!$J$2:$K$9, 2, 0),""))</f>
      </c>
      <c r="AA17" s="6" t="s">
        <v>60</v>
      </c>
      <c r="AB17" s="6">
        <f>IFERROR(VLOOKUP("", CONFIG!$M$2:$N$8, 2, 0),"")</f>
      </c>
      <c r="AC17" s="6">
        <f>IF(0=0, "", "0 tháng")</f>
      </c>
      <c r="AD17" s="6">
        <f>IFERROR(VLOOKUP("1", CONFIG!$D$2:$E$8, 2, 0),"")</f>
      </c>
      <c r="AE17" s="6" t="s">
        <v>145</v>
      </c>
      <c r="AF17" s="6" t="s">
        <v>54</v>
      </c>
      <c r="AG17" s="6" t="s">
        <v>54</v>
      </c>
      <c r="AH17" s="6" t="s">
        <v>62</v>
      </c>
    </row>
    <row r="18">
      <c r="A18" s="5">
        <f>ROW()-ROW(A3)</f>
      </c>
      <c r="B18" s="6" t="s">
        <v>146</v>
      </c>
      <c r="C18" s="6" t="n">
        <v>800212480</v>
      </c>
      <c r="D18" s="6" t="s">
        <v>50</v>
      </c>
      <c r="E18" s="6" t="s">
        <v>51</v>
      </c>
      <c r="F18" s="6" t="s">
        <v>52</v>
      </c>
      <c r="G18" s="6" t="s">
        <v>147</v>
      </c>
      <c r="H18" s="6" t="s">
        <v>54</v>
      </c>
      <c r="I18" s="6" t="s">
        <v>54</v>
      </c>
      <c r="J18" s="6" t="s">
        <v>147</v>
      </c>
      <c r="K18" s="6" t="s">
        <v>54</v>
      </c>
      <c r="L18" s="6" t="s">
        <v>148</v>
      </c>
      <c r="M18" s="6" t="s">
        <v>149</v>
      </c>
      <c r="N18" s="6" t="s">
        <v>150</v>
      </c>
      <c r="O18" s="6"/>
      <c r="P18" s="6"/>
      <c r="Q18" s="7" t="n">
        <v>286000</v>
      </c>
      <c r="R18" s="7" t="n">
        <v>286000</v>
      </c>
      <c r="S18" s="6" t="s">
        <v>151</v>
      </c>
      <c r="T18" s="6" t="s">
        <v>54</v>
      </c>
      <c r="U18" s="6" t="s">
        <v>59</v>
      </c>
      <c r="V18" s="6">
        <f>VLOOKUP("02", CONFIG!$G$2:$H$24, 2, 0)</f>
      </c>
      <c r="W18" s="6"/>
      <c r="X18" s="6">
        <f>IFERROR(VLOOKUP("09", CONFIG!$S$2:$T$12, 2, 0),"")</f>
      </c>
      <c r="Y18" s="6">
        <f>IFERROR(VLOOKUP("1", CONFIG!$A$2:$B$5, 2, 0),"")</f>
      </c>
      <c r="Z18" s="6">
        <f>IF(1=1, IFERROR(VLOOKUP("06", Config!$J$2:$K$9, 2, 0),""), IFERROR(VLOOKUP("", Config!$J$2:$K$9, 2, 0),""))</f>
      </c>
      <c r="AA18" s="6" t="s">
        <v>60</v>
      </c>
      <c r="AB18" s="6">
        <f>IFERROR(VLOOKUP("", CONFIG!$M$2:$N$8, 2, 0),"")</f>
      </c>
      <c r="AC18" s="6">
        <f>IF(0=0, "", "0 tháng")</f>
      </c>
      <c r="AD18" s="6">
        <f>IFERROR(VLOOKUP("1", CONFIG!$D$2:$E$8, 2, 0),"")</f>
      </c>
      <c r="AE18" s="6" t="s">
        <v>152</v>
      </c>
      <c r="AF18" s="6" t="s">
        <v>54</v>
      </c>
      <c r="AG18" s="6" t="s">
        <v>54</v>
      </c>
      <c r="AH18" s="6" t="s">
        <v>62</v>
      </c>
    </row>
    <row r="19">
      <c r="A19" s="5">
        <f>ROW()-ROW(A3)</f>
      </c>
      <c r="B19" s="6" t="s">
        <v>153</v>
      </c>
      <c r="C19" s="6" t="n">
        <v>800194010</v>
      </c>
      <c r="D19" s="6" t="s">
        <v>50</v>
      </c>
      <c r="E19" s="6" t="s">
        <v>51</v>
      </c>
      <c r="F19" s="6" t="s">
        <v>52</v>
      </c>
      <c r="G19" s="6" t="s">
        <v>154</v>
      </c>
      <c r="H19" s="6" t="s">
        <v>54</v>
      </c>
      <c r="I19" s="6" t="s">
        <v>54</v>
      </c>
      <c r="J19" s="6" t="s">
        <v>154</v>
      </c>
      <c r="K19" s="6" t="s">
        <v>54</v>
      </c>
      <c r="L19" s="6" t="s">
        <v>155</v>
      </c>
      <c r="M19" s="6" t="s">
        <v>156</v>
      </c>
      <c r="N19" s="6" t="s">
        <v>157</v>
      </c>
      <c r="O19" s="6"/>
      <c r="P19" s="6"/>
      <c r="Q19" s="7" t="n">
        <v>292000</v>
      </c>
      <c r="R19" s="7" t="n">
        <v>292000</v>
      </c>
      <c r="S19" s="6" t="s">
        <v>158</v>
      </c>
      <c r="T19" s="6" t="s">
        <v>54</v>
      </c>
      <c r="U19" s="6" t="s">
        <v>59</v>
      </c>
      <c r="V19" s="6">
        <f>VLOOKUP("02", CONFIG!$G$2:$H$24, 2, 0)</f>
      </c>
      <c r="W19" s="6"/>
      <c r="X19" s="6">
        <f>IFERROR(VLOOKUP("09", CONFIG!$S$2:$T$12, 2, 0),"")</f>
      </c>
      <c r="Y19" s="6">
        <f>IFERROR(VLOOKUP("1", CONFIG!$A$2:$B$5, 2, 0),"")</f>
      </c>
      <c r="Z19" s="6">
        <f>IF(1=1, IFERROR(VLOOKUP("06", Config!$J$2:$K$9, 2, 0),""), IFERROR(VLOOKUP("", Config!$J$2:$K$9, 2, 0),""))</f>
      </c>
      <c r="AA19" s="6" t="s">
        <v>60</v>
      </c>
      <c r="AB19" s="6">
        <f>IFERROR(VLOOKUP("", CONFIG!$M$2:$N$8, 2, 0),"")</f>
      </c>
      <c r="AC19" s="6">
        <f>IF(0=0, "", "0 tháng")</f>
      </c>
      <c r="AD19" s="6">
        <f>IFERROR(VLOOKUP("1", CONFIG!$D$2:$E$8, 2, 0),"")</f>
      </c>
      <c r="AE19" s="6" t="s">
        <v>159</v>
      </c>
      <c r="AF19" s="6" t="s">
        <v>54</v>
      </c>
      <c r="AG19" s="6" t="s">
        <v>54</v>
      </c>
      <c r="AH19" s="6" t="s">
        <v>62</v>
      </c>
    </row>
    <row r="20">
      <c r="A20" s="5">
        <f>ROW()-ROW(A3)</f>
      </c>
      <c r="B20" s="6" t="s">
        <v>160</v>
      </c>
      <c r="C20" s="6" t="n">
        <v>800191445</v>
      </c>
      <c r="D20" s="6" t="s">
        <v>50</v>
      </c>
      <c r="E20" s="6" t="s">
        <v>51</v>
      </c>
      <c r="F20" s="6" t="s">
        <v>52</v>
      </c>
      <c r="G20" s="6" t="s">
        <v>161</v>
      </c>
      <c r="H20" s="6" t="s">
        <v>54</v>
      </c>
      <c r="I20" s="6" t="s">
        <v>54</v>
      </c>
      <c r="J20" s="6" t="s">
        <v>161</v>
      </c>
      <c r="K20" s="6" t="s">
        <v>54</v>
      </c>
      <c r="L20" s="6" t="s">
        <v>162</v>
      </c>
      <c r="M20" s="6" t="s">
        <v>163</v>
      </c>
      <c r="N20" s="6" t="s">
        <v>164</v>
      </c>
      <c r="O20" s="6"/>
      <c r="P20" s="6"/>
      <c r="Q20" s="7" t="n">
        <v>3395000</v>
      </c>
      <c r="R20" s="7" t="n">
        <v>3395000</v>
      </c>
      <c r="S20" s="6" t="s">
        <v>165</v>
      </c>
      <c r="T20" s="6" t="s">
        <v>54</v>
      </c>
      <c r="U20" s="6" t="s">
        <v>59</v>
      </c>
      <c r="V20" s="6">
        <f>VLOOKUP("02", CONFIG!$G$2:$H$24, 2, 0)</f>
      </c>
      <c r="W20" s="6"/>
      <c r="X20" s="6">
        <f>IFERROR(VLOOKUP("09", CONFIG!$S$2:$T$12, 2, 0),"")</f>
      </c>
      <c r="Y20" s="6">
        <f>IFERROR(VLOOKUP("1", CONFIG!$A$2:$B$5, 2, 0),"")</f>
      </c>
      <c r="Z20" s="6">
        <f>IF(1=1, IFERROR(VLOOKUP("06", Config!$J$2:$K$9, 2, 0),""), IFERROR(VLOOKUP("", Config!$J$2:$K$9, 2, 0),""))</f>
      </c>
      <c r="AA20" s="6" t="s">
        <v>60</v>
      </c>
      <c r="AB20" s="6">
        <f>IFERROR(VLOOKUP("", CONFIG!$M$2:$N$8, 2, 0),"")</f>
      </c>
      <c r="AC20" s="6">
        <f>IF(0=0, "", "0 tháng")</f>
      </c>
      <c r="AD20" s="6">
        <f>IFERROR(VLOOKUP("1", CONFIG!$D$2:$E$8, 2, 0),"")</f>
      </c>
      <c r="AE20" s="6" t="s">
        <v>166</v>
      </c>
      <c r="AF20" s="6" t="s">
        <v>54</v>
      </c>
      <c r="AG20" s="6" t="s">
        <v>54</v>
      </c>
      <c r="AH20" s="6" t="s">
        <v>62</v>
      </c>
    </row>
    <row r="21">
      <c r="A21" s="5">
        <f>ROW()-ROW(A3)</f>
      </c>
      <c r="B21" s="6" t="s">
        <v>167</v>
      </c>
      <c r="C21" s="6" t="n">
        <v>800187908</v>
      </c>
      <c r="D21" s="6" t="s">
        <v>50</v>
      </c>
      <c r="E21" s="6" t="s">
        <v>51</v>
      </c>
      <c r="F21" s="6" t="s">
        <v>52</v>
      </c>
      <c r="G21" s="6" t="s">
        <v>168</v>
      </c>
      <c r="H21" s="6" t="s">
        <v>54</v>
      </c>
      <c r="I21" s="6" t="s">
        <v>54</v>
      </c>
      <c r="J21" s="6" t="s">
        <v>168</v>
      </c>
      <c r="K21" s="6" t="s">
        <v>54</v>
      </c>
      <c r="L21" s="6" t="s">
        <v>169</v>
      </c>
      <c r="M21" s="6" t="s">
        <v>170</v>
      </c>
      <c r="N21" s="6" t="s">
        <v>171</v>
      </c>
      <c r="O21" s="6"/>
      <c r="P21" s="6"/>
      <c r="Q21" s="7" t="n">
        <v>285000</v>
      </c>
      <c r="R21" s="7" t="n">
        <v>285000</v>
      </c>
      <c r="S21" s="6" t="s">
        <v>172</v>
      </c>
      <c r="T21" s="6" t="s">
        <v>54</v>
      </c>
      <c r="U21" s="6" t="s">
        <v>59</v>
      </c>
      <c r="V21" s="6">
        <f>VLOOKUP("02", CONFIG!$G$2:$H$24, 2, 0)</f>
      </c>
      <c r="W21" s="6"/>
      <c r="X21" s="6">
        <f>IFERROR(VLOOKUP("09", CONFIG!$S$2:$T$12, 2, 0),"")</f>
      </c>
      <c r="Y21" s="6">
        <f>IFERROR(VLOOKUP("1", CONFIG!$A$2:$B$5, 2, 0),"")</f>
      </c>
      <c r="Z21" s="6">
        <f>IF(1=1, IFERROR(VLOOKUP("06", Config!$J$2:$K$9, 2, 0),""), IFERROR(VLOOKUP("", Config!$J$2:$K$9, 2, 0),""))</f>
      </c>
      <c r="AA21" s="6" t="s">
        <v>60</v>
      </c>
      <c r="AB21" s="6">
        <f>IFERROR(VLOOKUP("", CONFIG!$M$2:$N$8, 2, 0),"")</f>
      </c>
      <c r="AC21" s="6">
        <f>IF(0=0, "", "0 tháng")</f>
      </c>
      <c r="AD21" s="6">
        <f>IFERROR(VLOOKUP("1", CONFIG!$D$2:$E$8, 2, 0),"")</f>
      </c>
      <c r="AE21" s="6" t="s">
        <v>173</v>
      </c>
      <c r="AF21" s="6" t="s">
        <v>54</v>
      </c>
      <c r="AG21" s="6" t="s">
        <v>54</v>
      </c>
      <c r="AH21" s="6" t="s">
        <v>62</v>
      </c>
    </row>
    <row r="22">
      <c r="A22" s="5">
        <f>ROW()-ROW(A3)</f>
      </c>
      <c r="B22" s="6" t="s">
        <v>174</v>
      </c>
      <c r="C22" s="6" t="n">
        <v>800186579</v>
      </c>
      <c r="D22" s="6" t="s">
        <v>50</v>
      </c>
      <c r="E22" s="6" t="s">
        <v>51</v>
      </c>
      <c r="F22" s="6" t="s">
        <v>52</v>
      </c>
      <c r="G22" s="6" t="s">
        <v>175</v>
      </c>
      <c r="H22" s="6" t="s">
        <v>54</v>
      </c>
      <c r="I22" s="6" t="s">
        <v>54</v>
      </c>
      <c r="J22" s="6" t="s">
        <v>175</v>
      </c>
      <c r="K22" s="6" t="s">
        <v>54</v>
      </c>
      <c r="L22" s="6" t="s">
        <v>176</v>
      </c>
      <c r="M22" s="6" t="s">
        <v>177</v>
      </c>
      <c r="N22" s="6" t="s">
        <v>178</v>
      </c>
      <c r="O22" s="6"/>
      <c r="P22" s="6"/>
      <c r="Q22" s="7" t="n">
        <v>1015000</v>
      </c>
      <c r="R22" s="7" t="n">
        <v>1015000</v>
      </c>
      <c r="S22" s="6" t="s">
        <v>179</v>
      </c>
      <c r="T22" s="6" t="s">
        <v>54</v>
      </c>
      <c r="U22" s="6" t="s">
        <v>59</v>
      </c>
      <c r="V22" s="6">
        <f>VLOOKUP("02", CONFIG!$G$2:$H$24, 2, 0)</f>
      </c>
      <c r="W22" s="6"/>
      <c r="X22" s="6">
        <f>IFERROR(VLOOKUP("09", CONFIG!$S$2:$T$12, 2, 0),"")</f>
      </c>
      <c r="Y22" s="6">
        <f>IFERROR(VLOOKUP("1", CONFIG!$A$2:$B$5, 2, 0),"")</f>
      </c>
      <c r="Z22" s="6">
        <f>IF(1=1, IFERROR(VLOOKUP("06", Config!$J$2:$K$9, 2, 0),""), IFERROR(VLOOKUP("", Config!$J$2:$K$9, 2, 0),""))</f>
      </c>
      <c r="AA22" s="6" t="s">
        <v>60</v>
      </c>
      <c r="AB22" s="6">
        <f>IFERROR(VLOOKUP("", CONFIG!$M$2:$N$8, 2, 0),"")</f>
      </c>
      <c r="AC22" s="6">
        <f>IF(0=0, "", "0 tháng")</f>
      </c>
      <c r="AD22" s="6">
        <f>IFERROR(VLOOKUP("1", CONFIG!$D$2:$E$8, 2, 0),"")</f>
      </c>
      <c r="AE22" s="6" t="s">
        <v>180</v>
      </c>
      <c r="AF22" s="6" t="s">
        <v>54</v>
      </c>
      <c r="AG22" s="6" t="s">
        <v>54</v>
      </c>
      <c r="AH22" s="6" t="s">
        <v>62</v>
      </c>
    </row>
    <row r="23">
      <c r="A23" s="5">
        <f>ROW()-ROW(A3)</f>
      </c>
      <c r="B23" s="6" t="s">
        <v>181</v>
      </c>
      <c r="C23" s="6" t="n">
        <v>800150364</v>
      </c>
      <c r="D23" s="6" t="s">
        <v>50</v>
      </c>
      <c r="E23" s="6" t="s">
        <v>51</v>
      </c>
      <c r="F23" s="6" t="s">
        <v>52</v>
      </c>
      <c r="G23" s="6" t="s">
        <v>182</v>
      </c>
      <c r="H23" s="6" t="s">
        <v>54</v>
      </c>
      <c r="I23" s="6" t="s">
        <v>54</v>
      </c>
      <c r="J23" s="6" t="s">
        <v>182</v>
      </c>
      <c r="K23" s="6" t="s">
        <v>54</v>
      </c>
      <c r="L23" s="6" t="s">
        <v>183</v>
      </c>
      <c r="M23" s="6" t="s">
        <v>184</v>
      </c>
      <c r="N23" s="6" t="s">
        <v>185</v>
      </c>
      <c r="O23" s="6"/>
      <c r="P23" s="6"/>
      <c r="Q23" s="7" t="n">
        <v>1091000</v>
      </c>
      <c r="R23" s="7" t="n">
        <v>1091000</v>
      </c>
      <c r="S23" s="6" t="s">
        <v>186</v>
      </c>
      <c r="T23" s="6" t="s">
        <v>54</v>
      </c>
      <c r="U23" s="6" t="s">
        <v>59</v>
      </c>
      <c r="V23" s="6">
        <f>VLOOKUP("02", CONFIG!$G$2:$H$24, 2, 0)</f>
      </c>
      <c r="W23" s="6"/>
      <c r="X23" s="6">
        <f>IFERROR(VLOOKUP("09", CONFIG!$S$2:$T$12, 2, 0),"")</f>
      </c>
      <c r="Y23" s="6">
        <f>IFERROR(VLOOKUP("1", CONFIG!$A$2:$B$5, 2, 0),"")</f>
      </c>
      <c r="Z23" s="6">
        <f>IF(1=1, IFERROR(VLOOKUP("06", Config!$J$2:$K$9, 2, 0),""), IFERROR(VLOOKUP("", Config!$J$2:$K$9, 2, 0),""))</f>
      </c>
      <c r="AA23" s="6" t="s">
        <v>60</v>
      </c>
      <c r="AB23" s="6">
        <f>IFERROR(VLOOKUP("", CONFIG!$M$2:$N$8, 2, 0),"")</f>
      </c>
      <c r="AC23" s="6">
        <f>IF(0=0, "", "0 tháng")</f>
      </c>
      <c r="AD23" s="6">
        <f>IFERROR(VLOOKUP("1", CONFIG!$D$2:$E$8, 2, 0),"")</f>
      </c>
      <c r="AE23" s="6" t="s">
        <v>187</v>
      </c>
      <c r="AF23" s="6" t="s">
        <v>54</v>
      </c>
      <c r="AG23" s="6" t="s">
        <v>54</v>
      </c>
      <c r="AH23" s="6" t="s">
        <v>62</v>
      </c>
    </row>
    <row r="24">
      <c r="A24" s="5">
        <f>ROW()-ROW(A3)</f>
      </c>
      <c r="B24" s="6" t="s">
        <v>188</v>
      </c>
      <c r="C24" s="6" t="n">
        <v>800100103</v>
      </c>
      <c r="D24" s="6" t="s">
        <v>50</v>
      </c>
      <c r="E24" s="6" t="s">
        <v>51</v>
      </c>
      <c r="F24" s="6" t="s">
        <v>52</v>
      </c>
      <c r="G24" s="6" t="s">
        <v>189</v>
      </c>
      <c r="H24" s="6" t="s">
        <v>54</v>
      </c>
      <c r="I24" s="6" t="s">
        <v>54</v>
      </c>
      <c r="J24" s="6" t="s">
        <v>189</v>
      </c>
      <c r="K24" s="6" t="s">
        <v>54</v>
      </c>
      <c r="L24" s="6" t="s">
        <v>190</v>
      </c>
      <c r="M24" s="6" t="s">
        <v>191</v>
      </c>
      <c r="N24" s="6" t="s">
        <v>192</v>
      </c>
      <c r="O24" s="6"/>
      <c r="P24" s="6"/>
      <c r="Q24" s="7" t="n">
        <v>293000</v>
      </c>
      <c r="R24" s="7" t="n">
        <v>293000</v>
      </c>
      <c r="S24" s="6" t="s">
        <v>144</v>
      </c>
      <c r="T24" s="6" t="s">
        <v>54</v>
      </c>
      <c r="U24" s="6" t="s">
        <v>59</v>
      </c>
      <c r="V24" s="6">
        <f>VLOOKUP("02", CONFIG!$G$2:$H$24, 2, 0)</f>
      </c>
      <c r="W24" s="6"/>
      <c r="X24" s="6">
        <f>IFERROR(VLOOKUP("09", CONFIG!$S$2:$T$12, 2, 0),"")</f>
      </c>
      <c r="Y24" s="6">
        <f>IFERROR(VLOOKUP("1", CONFIG!$A$2:$B$5, 2, 0),"")</f>
      </c>
      <c r="Z24" s="6">
        <f>IF(1=1, IFERROR(VLOOKUP("06", Config!$J$2:$K$9, 2, 0),""), IFERROR(VLOOKUP("", Config!$J$2:$K$9, 2, 0),""))</f>
      </c>
      <c r="AA24" s="6" t="s">
        <v>60</v>
      </c>
      <c r="AB24" s="6">
        <f>IFERROR(VLOOKUP("", CONFIG!$M$2:$N$8, 2, 0),"")</f>
      </c>
      <c r="AC24" s="6">
        <f>IF(0=0, "", "0 tháng")</f>
      </c>
      <c r="AD24" s="6">
        <f>IFERROR(VLOOKUP("1", CONFIG!$D$2:$E$8, 2, 0),"")</f>
      </c>
      <c r="AE24" s="6" t="s">
        <v>193</v>
      </c>
      <c r="AF24" s="6" t="s">
        <v>54</v>
      </c>
      <c r="AG24" s="6" t="s">
        <v>54</v>
      </c>
      <c r="AH24" s="6" t="s">
        <v>62</v>
      </c>
    </row>
    <row r="25">
      <c r="A25" s="5">
        <f>ROW()-ROW(A3)</f>
      </c>
      <c r="B25" s="6" t="s">
        <v>194</v>
      </c>
      <c r="C25" s="6" t="n">
        <v>800081396</v>
      </c>
      <c r="D25" s="6" t="s">
        <v>50</v>
      </c>
      <c r="E25" s="6" t="s">
        <v>51</v>
      </c>
      <c r="F25" s="6" t="s">
        <v>52</v>
      </c>
      <c r="G25" s="6" t="s">
        <v>195</v>
      </c>
      <c r="H25" s="6" t="s">
        <v>54</v>
      </c>
      <c r="I25" s="6" t="s">
        <v>54</v>
      </c>
      <c r="J25" s="6" t="s">
        <v>195</v>
      </c>
      <c r="K25" s="6" t="s">
        <v>54</v>
      </c>
      <c r="L25" s="6" t="s">
        <v>196</v>
      </c>
      <c r="M25" s="6" t="s">
        <v>197</v>
      </c>
      <c r="N25" s="6" t="s">
        <v>198</v>
      </c>
      <c r="O25" s="6"/>
      <c r="P25" s="6"/>
      <c r="Q25" s="7" t="n">
        <v>291000</v>
      </c>
      <c r="R25" s="7" t="n">
        <v>291000</v>
      </c>
      <c r="S25" s="6" t="s">
        <v>199</v>
      </c>
      <c r="T25" s="6" t="s">
        <v>54</v>
      </c>
      <c r="U25" s="6" t="s">
        <v>59</v>
      </c>
      <c r="V25" s="6">
        <f>VLOOKUP("02", CONFIG!$G$2:$H$24, 2, 0)</f>
      </c>
      <c r="W25" s="6"/>
      <c r="X25" s="6">
        <f>IFERROR(VLOOKUP("09", CONFIG!$S$2:$T$12, 2, 0),"")</f>
      </c>
      <c r="Y25" s="6">
        <f>IFERROR(VLOOKUP("1", CONFIG!$A$2:$B$5, 2, 0),"")</f>
      </c>
      <c r="Z25" s="6">
        <f>IF(1=1, IFERROR(VLOOKUP("06", Config!$J$2:$K$9, 2, 0),""), IFERROR(VLOOKUP("", Config!$J$2:$K$9, 2, 0),""))</f>
      </c>
      <c r="AA25" s="6" t="s">
        <v>60</v>
      </c>
      <c r="AB25" s="6">
        <f>IFERROR(VLOOKUP("", CONFIG!$M$2:$N$8, 2, 0),"")</f>
      </c>
      <c r="AC25" s="6">
        <f>IF(0=0, "", "0 tháng")</f>
      </c>
      <c r="AD25" s="6">
        <f>IFERROR(VLOOKUP("1", CONFIG!$D$2:$E$8, 2, 0),"")</f>
      </c>
      <c r="AE25" s="6" t="s">
        <v>200</v>
      </c>
      <c r="AF25" s="6" t="s">
        <v>54</v>
      </c>
      <c r="AG25" s="6" t="s">
        <v>54</v>
      </c>
      <c r="AH25" s="6" t="s">
        <v>62</v>
      </c>
    </row>
    <row r="26">
      <c r="A26" s="5">
        <f>ROW()-ROW(A3)</f>
      </c>
      <c r="B26" s="6" t="s">
        <v>201</v>
      </c>
      <c r="C26" s="6" t="n">
        <v>800064190</v>
      </c>
      <c r="D26" s="6" t="s">
        <v>50</v>
      </c>
      <c r="E26" s="6" t="s">
        <v>51</v>
      </c>
      <c r="F26" s="6" t="s">
        <v>52</v>
      </c>
      <c r="G26" s="6" t="s">
        <v>202</v>
      </c>
      <c r="H26" s="6" t="s">
        <v>54</v>
      </c>
      <c r="I26" s="6" t="s">
        <v>54</v>
      </c>
      <c r="J26" s="6" t="s">
        <v>202</v>
      </c>
      <c r="K26" s="6" t="s">
        <v>54</v>
      </c>
      <c r="L26" s="6" t="s">
        <v>190</v>
      </c>
      <c r="M26" s="6" t="s">
        <v>191</v>
      </c>
      <c r="N26" s="6" t="s">
        <v>192</v>
      </c>
      <c r="O26" s="6"/>
      <c r="P26" s="6"/>
      <c r="Q26" s="7" t="n">
        <v>292000</v>
      </c>
      <c r="R26" s="7" t="n">
        <v>292000</v>
      </c>
      <c r="S26" s="6" t="s">
        <v>158</v>
      </c>
      <c r="T26" s="6" t="s">
        <v>54</v>
      </c>
      <c r="U26" s="6" t="s">
        <v>59</v>
      </c>
      <c r="V26" s="6">
        <f>VLOOKUP("02", CONFIG!$G$2:$H$24, 2, 0)</f>
      </c>
      <c r="W26" s="6"/>
      <c r="X26" s="6">
        <f>IFERROR(VLOOKUP("09", CONFIG!$S$2:$T$12, 2, 0),"")</f>
      </c>
      <c r="Y26" s="6">
        <f>IFERROR(VLOOKUP("1", CONFIG!$A$2:$B$5, 2, 0),"")</f>
      </c>
      <c r="Z26" s="6">
        <f>IF(1=1, IFERROR(VLOOKUP("06", Config!$J$2:$K$9, 2, 0),""), IFERROR(VLOOKUP("", Config!$J$2:$K$9, 2, 0),""))</f>
      </c>
      <c r="AA26" s="6" t="s">
        <v>60</v>
      </c>
      <c r="AB26" s="6">
        <f>IFERROR(VLOOKUP("", CONFIG!$M$2:$N$8, 2, 0),"")</f>
      </c>
      <c r="AC26" s="6">
        <f>IF(0=0, "", "0 tháng")</f>
      </c>
      <c r="AD26" s="6">
        <f>IFERROR(VLOOKUP("1", CONFIG!$D$2:$E$8, 2, 0),"")</f>
      </c>
      <c r="AE26" s="6" t="s">
        <v>203</v>
      </c>
      <c r="AF26" s="6" t="s">
        <v>54</v>
      </c>
      <c r="AG26" s="6" t="s">
        <v>54</v>
      </c>
      <c r="AH26" s="6" t="s">
        <v>62</v>
      </c>
    </row>
    <row r="27">
      <c r="A27" s="5">
        <f>ROW()-ROW(A3)</f>
      </c>
      <c r="B27" s="6" t="s">
        <v>204</v>
      </c>
      <c r="C27" s="6" t="n">
        <v>800044682</v>
      </c>
      <c r="D27" s="6" t="s">
        <v>50</v>
      </c>
      <c r="E27" s="6" t="s">
        <v>51</v>
      </c>
      <c r="F27" s="6" t="s">
        <v>52</v>
      </c>
      <c r="G27" s="6" t="s">
        <v>205</v>
      </c>
      <c r="H27" s="6" t="s">
        <v>54</v>
      </c>
      <c r="I27" s="6" t="s">
        <v>54</v>
      </c>
      <c r="J27" s="6" t="s">
        <v>205</v>
      </c>
      <c r="K27" s="6" t="s">
        <v>54</v>
      </c>
      <c r="L27" s="6" t="s">
        <v>206</v>
      </c>
      <c r="M27" s="6" t="s">
        <v>207</v>
      </c>
      <c r="N27" s="6" t="s">
        <v>208</v>
      </c>
      <c r="O27" s="6"/>
      <c r="P27" s="6"/>
      <c r="Q27" s="7" t="n">
        <v>281000</v>
      </c>
      <c r="R27" s="7" t="n">
        <v>281000</v>
      </c>
      <c r="S27" s="6" t="s">
        <v>209</v>
      </c>
      <c r="T27" s="6" t="s">
        <v>54</v>
      </c>
      <c r="U27" s="6" t="s">
        <v>59</v>
      </c>
      <c r="V27" s="6">
        <f>VLOOKUP("02", CONFIG!$G$2:$H$24, 2, 0)</f>
      </c>
      <c r="W27" s="6"/>
      <c r="X27" s="6">
        <f>IFERROR(VLOOKUP("09", CONFIG!$S$2:$T$12, 2, 0),"")</f>
      </c>
      <c r="Y27" s="6">
        <f>IFERROR(VLOOKUP("1", CONFIG!$A$2:$B$5, 2, 0),"")</f>
      </c>
      <c r="Z27" s="6">
        <f>IF(1=1, IFERROR(VLOOKUP("06", Config!$J$2:$K$9, 2, 0),""), IFERROR(VLOOKUP("", Config!$J$2:$K$9, 2, 0),""))</f>
      </c>
      <c r="AA27" s="6" t="s">
        <v>60</v>
      </c>
      <c r="AB27" s="6">
        <f>IFERROR(VLOOKUP("", CONFIG!$M$2:$N$8, 2, 0),"")</f>
      </c>
      <c r="AC27" s="6">
        <f>IF(0=0, "", "0 tháng")</f>
      </c>
      <c r="AD27" s="6">
        <f>IFERROR(VLOOKUP("1", CONFIG!$D$2:$E$8, 2, 0),"")</f>
      </c>
      <c r="AE27" s="6" t="s">
        <v>210</v>
      </c>
      <c r="AF27" s="6" t="s">
        <v>54</v>
      </c>
      <c r="AG27" s="6" t="s">
        <v>54</v>
      </c>
      <c r="AH27" s="6" t="s">
        <v>62</v>
      </c>
    </row>
    <row r="28">
      <c r="A28" s="5">
        <f>ROW()-ROW(A3)</f>
      </c>
      <c r="B28" s="6" t="s">
        <v>211</v>
      </c>
      <c r="C28" s="6" t="n">
        <v>800040551</v>
      </c>
      <c r="D28" s="6" t="s">
        <v>50</v>
      </c>
      <c r="E28" s="6" t="s">
        <v>51</v>
      </c>
      <c r="F28" s="6" t="s">
        <v>52</v>
      </c>
      <c r="G28" s="6" t="s">
        <v>212</v>
      </c>
      <c r="H28" s="6" t="s">
        <v>54</v>
      </c>
      <c r="I28" s="6" t="s">
        <v>54</v>
      </c>
      <c r="J28" s="6" t="s">
        <v>212</v>
      </c>
      <c r="K28" s="6" t="s">
        <v>54</v>
      </c>
      <c r="L28" s="6" t="s">
        <v>213</v>
      </c>
      <c r="M28" s="6" t="s">
        <v>214</v>
      </c>
      <c r="N28" s="6" t="s">
        <v>215</v>
      </c>
      <c r="O28" s="6"/>
      <c r="P28" s="6"/>
      <c r="Q28" s="7" t="n">
        <v>260000</v>
      </c>
      <c r="R28" s="7" t="n">
        <v>260000</v>
      </c>
      <c r="S28" s="6" t="s">
        <v>216</v>
      </c>
      <c r="T28" s="6" t="s">
        <v>217</v>
      </c>
      <c r="U28" s="6" t="s">
        <v>59</v>
      </c>
      <c r="V28" s="6">
        <f>VLOOKUP("02", CONFIG!$G$2:$H$24, 2, 0)</f>
      </c>
      <c r="W28" s="6"/>
      <c r="X28" s="6">
        <f>IFERROR(VLOOKUP("09", CONFIG!$S$2:$T$12, 2, 0),"")</f>
      </c>
      <c r="Y28" s="6">
        <f>IFERROR(VLOOKUP("1", CONFIG!$A$2:$B$5, 2, 0),"")</f>
      </c>
      <c r="Z28" s="6">
        <f>IF(1=1, IFERROR(VLOOKUP("06", Config!$J$2:$K$9, 2, 0),""), IFERROR(VLOOKUP("", Config!$J$2:$K$9, 2, 0),""))</f>
      </c>
      <c r="AA28" s="6" t="s">
        <v>60</v>
      </c>
      <c r="AB28" s="6">
        <f>IFERROR(VLOOKUP("", CONFIG!$M$2:$N$8, 2, 0),"")</f>
      </c>
      <c r="AC28" s="6">
        <f>IF(0=0, "", "0 tháng")</f>
      </c>
      <c r="AD28" s="6">
        <f>IFERROR(VLOOKUP("1", CONFIG!$D$2:$E$8, 2, 0),"")</f>
      </c>
      <c r="AE28" s="6" t="s">
        <v>218</v>
      </c>
      <c r="AF28" s="6" t="s">
        <v>217</v>
      </c>
      <c r="AG28" s="6" t="s">
        <v>217</v>
      </c>
      <c r="AH28" s="6" t="s">
        <v>62</v>
      </c>
    </row>
    <row r="29">
      <c r="A29" s="5">
        <f>ROW()-ROW(A3)</f>
      </c>
      <c r="B29" s="6" t="s">
        <v>219</v>
      </c>
      <c r="C29" s="6" t="n">
        <v>800034829</v>
      </c>
      <c r="D29" s="6" t="s">
        <v>50</v>
      </c>
      <c r="E29" s="6" t="s">
        <v>51</v>
      </c>
      <c r="F29" s="6" t="s">
        <v>52</v>
      </c>
      <c r="G29" s="6" t="s">
        <v>220</v>
      </c>
      <c r="H29" s="6" t="s">
        <v>54</v>
      </c>
      <c r="I29" s="6" t="s">
        <v>54</v>
      </c>
      <c r="J29" s="6" t="s">
        <v>220</v>
      </c>
      <c r="K29" s="6" t="s">
        <v>54</v>
      </c>
      <c r="L29" s="6" t="s">
        <v>221</v>
      </c>
      <c r="M29" s="6" t="s">
        <v>222</v>
      </c>
      <c r="N29" s="6" t="s">
        <v>223</v>
      </c>
      <c r="O29" s="6"/>
      <c r="P29" s="6"/>
      <c r="Q29" s="7" t="n">
        <v>291000</v>
      </c>
      <c r="R29" s="7" t="n">
        <v>291000</v>
      </c>
      <c r="S29" s="6" t="s">
        <v>199</v>
      </c>
      <c r="T29" s="6" t="s">
        <v>54</v>
      </c>
      <c r="U29" s="6" t="s">
        <v>59</v>
      </c>
      <c r="V29" s="6">
        <f>VLOOKUP("02", CONFIG!$G$2:$H$24, 2, 0)</f>
      </c>
      <c r="W29" s="6"/>
      <c r="X29" s="6">
        <f>IFERROR(VLOOKUP("09", CONFIG!$S$2:$T$12, 2, 0),"")</f>
      </c>
      <c r="Y29" s="6">
        <f>IFERROR(VLOOKUP("1", CONFIG!$A$2:$B$5, 2, 0),"")</f>
      </c>
      <c r="Z29" s="6">
        <f>IF(1=1, IFERROR(VLOOKUP("06", Config!$J$2:$K$9, 2, 0),""), IFERROR(VLOOKUP("", Config!$J$2:$K$9, 2, 0),""))</f>
      </c>
      <c r="AA29" s="6" t="s">
        <v>60</v>
      </c>
      <c r="AB29" s="6">
        <f>IFERROR(VLOOKUP("", CONFIG!$M$2:$N$8, 2, 0),"")</f>
      </c>
      <c r="AC29" s="6">
        <f>IF(0=0, "", "0 tháng")</f>
      </c>
      <c r="AD29" s="6">
        <f>IFERROR(VLOOKUP("1", CONFIG!$D$2:$E$8, 2, 0),"")</f>
      </c>
      <c r="AE29" s="6" t="s">
        <v>224</v>
      </c>
      <c r="AF29" s="6" t="s">
        <v>54</v>
      </c>
      <c r="AG29" s="6" t="s">
        <v>54</v>
      </c>
      <c r="AH29" s="6" t="s">
        <v>62</v>
      </c>
    </row>
    <row r="30">
      <c r="A30" s="5">
        <f>ROW()-ROW(A3)</f>
      </c>
      <c r="B30" s="6" t="s">
        <v>225</v>
      </c>
      <c r="C30" s="6" t="n">
        <v>800009452</v>
      </c>
      <c r="D30" s="6" t="s">
        <v>50</v>
      </c>
      <c r="E30" s="6" t="s">
        <v>51</v>
      </c>
      <c r="F30" s="6" t="s">
        <v>52</v>
      </c>
      <c r="G30" s="6" t="s">
        <v>226</v>
      </c>
      <c r="H30" s="6" t="s">
        <v>54</v>
      </c>
      <c r="I30" s="6" t="s">
        <v>54</v>
      </c>
      <c r="J30" s="6" t="s">
        <v>226</v>
      </c>
      <c r="K30" s="6" t="s">
        <v>54</v>
      </c>
      <c r="L30" s="6" t="s">
        <v>227</v>
      </c>
      <c r="M30" s="6" t="s">
        <v>228</v>
      </c>
      <c r="N30" s="6" t="s">
        <v>229</v>
      </c>
      <c r="O30" s="6"/>
      <c r="P30" s="6"/>
      <c r="Q30" s="7" t="n">
        <v>292000</v>
      </c>
      <c r="R30" s="7" t="n">
        <v>292000</v>
      </c>
      <c r="S30" s="6" t="s">
        <v>158</v>
      </c>
      <c r="T30" s="6" t="s">
        <v>54</v>
      </c>
      <c r="U30" s="6" t="s">
        <v>59</v>
      </c>
      <c r="V30" s="6">
        <f>VLOOKUP("02", CONFIG!$G$2:$H$24, 2, 0)</f>
      </c>
      <c r="W30" s="6"/>
      <c r="X30" s="6">
        <f>IFERROR(VLOOKUP("09", CONFIG!$S$2:$T$12, 2, 0),"")</f>
      </c>
      <c r="Y30" s="6">
        <f>IFERROR(VLOOKUP("1", CONFIG!$A$2:$B$5, 2, 0),"")</f>
      </c>
      <c r="Z30" s="6">
        <f>IF(1=1, IFERROR(VLOOKUP("06", Config!$J$2:$K$9, 2, 0),""), IFERROR(VLOOKUP("", Config!$J$2:$K$9, 2, 0),""))</f>
      </c>
      <c r="AA30" s="6" t="s">
        <v>60</v>
      </c>
      <c r="AB30" s="6">
        <f>IFERROR(VLOOKUP("", CONFIG!$M$2:$N$8, 2, 0),"")</f>
      </c>
      <c r="AC30" s="6">
        <f>IF(0=0, "", "0 tháng")</f>
      </c>
      <c r="AD30" s="6">
        <f>IFERROR(VLOOKUP("1", CONFIG!$D$2:$E$8, 2, 0),"")</f>
      </c>
      <c r="AE30" s="6" t="s">
        <v>230</v>
      </c>
      <c r="AF30" s="6" t="s">
        <v>54</v>
      </c>
      <c r="AG30" s="6" t="s">
        <v>54</v>
      </c>
      <c r="AH30" s="6" t="s">
        <v>62</v>
      </c>
    </row>
    <row r="31">
      <c r="A31" s="5">
        <f>ROW()-ROW(A3)</f>
      </c>
      <c r="B31" s="6" t="s">
        <v>231</v>
      </c>
      <c r="C31" s="6" t="n">
        <v>799998355</v>
      </c>
      <c r="D31" s="6" t="s">
        <v>50</v>
      </c>
      <c r="E31" s="6" t="s">
        <v>51</v>
      </c>
      <c r="F31" s="6" t="s">
        <v>52</v>
      </c>
      <c r="G31" s="6" t="s">
        <v>232</v>
      </c>
      <c r="H31" s="6" t="s">
        <v>54</v>
      </c>
      <c r="I31" s="6" t="s">
        <v>54</v>
      </c>
      <c r="J31" s="6" t="s">
        <v>232</v>
      </c>
      <c r="K31" s="6" t="s">
        <v>54</v>
      </c>
      <c r="L31" s="6" t="s">
        <v>233</v>
      </c>
      <c r="M31" s="6" t="s">
        <v>234</v>
      </c>
      <c r="N31" s="6" t="s">
        <v>235</v>
      </c>
      <c r="O31" s="6"/>
      <c r="P31" s="6"/>
      <c r="Q31" s="7" t="n">
        <v>293000</v>
      </c>
      <c r="R31" s="7" t="n">
        <v>293000</v>
      </c>
      <c r="S31" s="6" t="s">
        <v>144</v>
      </c>
      <c r="T31" s="6" t="s">
        <v>54</v>
      </c>
      <c r="U31" s="6" t="s">
        <v>59</v>
      </c>
      <c r="V31" s="6">
        <f>VLOOKUP("02", CONFIG!$G$2:$H$24, 2, 0)</f>
      </c>
      <c r="W31" s="6"/>
      <c r="X31" s="6">
        <f>IFERROR(VLOOKUP("09", CONFIG!$S$2:$T$12, 2, 0),"")</f>
      </c>
      <c r="Y31" s="6">
        <f>IFERROR(VLOOKUP("1", CONFIG!$A$2:$B$5, 2, 0),"")</f>
      </c>
      <c r="Z31" s="6">
        <f>IF(1=1, IFERROR(VLOOKUP("06", Config!$J$2:$K$9, 2, 0),""), IFERROR(VLOOKUP("", Config!$J$2:$K$9, 2, 0),""))</f>
      </c>
      <c r="AA31" s="6" t="s">
        <v>60</v>
      </c>
      <c r="AB31" s="6">
        <f>IFERROR(VLOOKUP("", CONFIG!$M$2:$N$8, 2, 0),"")</f>
      </c>
      <c r="AC31" s="6">
        <f>IF(0=0, "", "0 tháng")</f>
      </c>
      <c r="AD31" s="6">
        <f>IFERROR(VLOOKUP("1", CONFIG!$D$2:$E$8, 2, 0),"")</f>
      </c>
      <c r="AE31" s="6" t="s">
        <v>236</v>
      </c>
      <c r="AF31" s="6" t="s">
        <v>54</v>
      </c>
      <c r="AG31" s="6" t="s">
        <v>54</v>
      </c>
      <c r="AH31" s="6" t="s">
        <v>62</v>
      </c>
    </row>
    <row r="32">
      <c r="A32" s="5">
        <f>ROW()-ROW(A3)</f>
      </c>
      <c r="B32" s="6" t="s">
        <v>237</v>
      </c>
      <c r="C32" s="6" t="n">
        <v>799988960</v>
      </c>
      <c r="D32" s="6" t="s">
        <v>50</v>
      </c>
      <c r="E32" s="6" t="s">
        <v>51</v>
      </c>
      <c r="F32" s="6" t="s">
        <v>52</v>
      </c>
      <c r="G32" s="6" t="s">
        <v>238</v>
      </c>
      <c r="H32" s="6" t="s">
        <v>54</v>
      </c>
      <c r="I32" s="6" t="s">
        <v>54</v>
      </c>
      <c r="J32" s="6" t="s">
        <v>238</v>
      </c>
      <c r="K32" s="6" t="s">
        <v>54</v>
      </c>
      <c r="L32" s="6" t="s">
        <v>239</v>
      </c>
      <c r="M32" s="6" t="s">
        <v>240</v>
      </c>
      <c r="N32" s="6" t="s">
        <v>241</v>
      </c>
      <c r="O32" s="6"/>
      <c r="P32" s="6"/>
      <c r="Q32" s="7" t="n">
        <v>281000</v>
      </c>
      <c r="R32" s="7" t="n">
        <v>281000</v>
      </c>
      <c r="S32" s="6" t="s">
        <v>209</v>
      </c>
      <c r="T32" s="6" t="s">
        <v>54</v>
      </c>
      <c r="U32" s="6" t="s">
        <v>59</v>
      </c>
      <c r="V32" s="6">
        <f>VLOOKUP("02", CONFIG!$G$2:$H$24, 2, 0)</f>
      </c>
      <c r="W32" s="6"/>
      <c r="X32" s="6">
        <f>IFERROR(VLOOKUP("09", CONFIG!$S$2:$T$12, 2, 0),"")</f>
      </c>
      <c r="Y32" s="6">
        <f>IFERROR(VLOOKUP("1", CONFIG!$A$2:$B$5, 2, 0),"")</f>
      </c>
      <c r="Z32" s="6">
        <f>IF(1=1, IFERROR(VLOOKUP("06", Config!$J$2:$K$9, 2, 0),""), IFERROR(VLOOKUP("", Config!$J$2:$K$9, 2, 0),""))</f>
      </c>
      <c r="AA32" s="6" t="s">
        <v>60</v>
      </c>
      <c r="AB32" s="6">
        <f>IFERROR(VLOOKUP("", CONFIG!$M$2:$N$8, 2, 0),"")</f>
      </c>
      <c r="AC32" s="6">
        <f>IF(0=0, "", "0 tháng")</f>
      </c>
      <c r="AD32" s="6">
        <f>IFERROR(VLOOKUP("1", CONFIG!$D$2:$E$8, 2, 0),"")</f>
      </c>
      <c r="AE32" s="6" t="s">
        <v>242</v>
      </c>
      <c r="AF32" s="6" t="s">
        <v>54</v>
      </c>
      <c r="AG32" s="6" t="s">
        <v>54</v>
      </c>
      <c r="AH32" s="6" t="s">
        <v>62</v>
      </c>
    </row>
    <row r="33">
      <c r="A33" s="5">
        <f>ROW()-ROW(A3)</f>
      </c>
      <c r="B33" s="6" t="s">
        <v>243</v>
      </c>
      <c r="C33" s="6" t="n">
        <v>799988835</v>
      </c>
      <c r="D33" s="6" t="s">
        <v>50</v>
      </c>
      <c r="E33" s="6" t="s">
        <v>51</v>
      </c>
      <c r="F33" s="6" t="s">
        <v>52</v>
      </c>
      <c r="G33" s="6" t="s">
        <v>244</v>
      </c>
      <c r="H33" s="6" t="s">
        <v>54</v>
      </c>
      <c r="I33" s="6" t="s">
        <v>54</v>
      </c>
      <c r="J33" s="6" t="s">
        <v>244</v>
      </c>
      <c r="K33" s="6" t="s">
        <v>54</v>
      </c>
      <c r="L33" s="6" t="s">
        <v>245</v>
      </c>
      <c r="M33" s="6" t="s">
        <v>246</v>
      </c>
      <c r="N33" s="6" t="s">
        <v>247</v>
      </c>
      <c r="O33" s="6"/>
      <c r="P33" s="6"/>
      <c r="Q33" s="7" t="n">
        <v>291000</v>
      </c>
      <c r="R33" s="7" t="n">
        <v>291000</v>
      </c>
      <c r="S33" s="6" t="s">
        <v>199</v>
      </c>
      <c r="T33" s="6" t="s">
        <v>54</v>
      </c>
      <c r="U33" s="6" t="s">
        <v>59</v>
      </c>
      <c r="V33" s="6">
        <f>VLOOKUP("02", CONFIG!$G$2:$H$24, 2, 0)</f>
      </c>
      <c r="W33" s="6"/>
      <c r="X33" s="6">
        <f>IFERROR(VLOOKUP("09", CONFIG!$S$2:$T$12, 2, 0),"")</f>
      </c>
      <c r="Y33" s="6">
        <f>IFERROR(VLOOKUP("1", CONFIG!$A$2:$B$5, 2, 0),"")</f>
      </c>
      <c r="Z33" s="6">
        <f>IF(1=1, IFERROR(VLOOKUP("06", Config!$J$2:$K$9, 2, 0),""), IFERROR(VLOOKUP("", Config!$J$2:$K$9, 2, 0),""))</f>
      </c>
      <c r="AA33" s="6" t="s">
        <v>60</v>
      </c>
      <c r="AB33" s="6">
        <f>IFERROR(VLOOKUP("", CONFIG!$M$2:$N$8, 2, 0),"")</f>
      </c>
      <c r="AC33" s="6">
        <f>IF(0=0, "", "0 tháng")</f>
      </c>
      <c r="AD33" s="6">
        <f>IFERROR(VLOOKUP("1", CONFIG!$D$2:$E$8, 2, 0),"")</f>
      </c>
      <c r="AE33" s="6" t="s">
        <v>248</v>
      </c>
      <c r="AF33" s="6" t="s">
        <v>54</v>
      </c>
      <c r="AG33" s="6" t="s">
        <v>54</v>
      </c>
      <c r="AH33" s="6" t="s">
        <v>62</v>
      </c>
    </row>
    <row r="34">
      <c r="A34" s="5">
        <f>ROW()-ROW(A3)</f>
      </c>
      <c r="B34" s="6" t="s">
        <v>249</v>
      </c>
      <c r="C34" s="6" t="n">
        <v>799976825</v>
      </c>
      <c r="D34" s="6" t="s">
        <v>50</v>
      </c>
      <c r="E34" s="6" t="s">
        <v>51</v>
      </c>
      <c r="F34" s="6" t="s">
        <v>52</v>
      </c>
      <c r="G34" s="6" t="s">
        <v>250</v>
      </c>
      <c r="H34" s="6" t="s">
        <v>54</v>
      </c>
      <c r="I34" s="6" t="s">
        <v>54</v>
      </c>
      <c r="J34" s="6" t="s">
        <v>250</v>
      </c>
      <c r="K34" s="6" t="s">
        <v>54</v>
      </c>
      <c r="L34" s="6" t="s">
        <v>251</v>
      </c>
      <c r="M34" s="6" t="s">
        <v>252</v>
      </c>
      <c r="N34" s="6" t="s">
        <v>253</v>
      </c>
      <c r="O34" s="6"/>
      <c r="P34" s="6"/>
      <c r="Q34" s="7" t="n">
        <v>275000</v>
      </c>
      <c r="R34" s="7" t="n">
        <v>275000</v>
      </c>
      <c r="S34" s="6" t="s">
        <v>254</v>
      </c>
      <c r="T34" s="6" t="s">
        <v>54</v>
      </c>
      <c r="U34" s="6" t="s">
        <v>59</v>
      </c>
      <c r="V34" s="6">
        <f>VLOOKUP("02", CONFIG!$G$2:$H$24, 2, 0)</f>
      </c>
      <c r="W34" s="6"/>
      <c r="X34" s="6">
        <f>IFERROR(VLOOKUP("09", CONFIG!$S$2:$T$12, 2, 0),"")</f>
      </c>
      <c r="Y34" s="6">
        <f>IFERROR(VLOOKUP("1", CONFIG!$A$2:$B$5, 2, 0),"")</f>
      </c>
      <c r="Z34" s="6">
        <f>IF(1=1, IFERROR(VLOOKUP("06", Config!$J$2:$K$9, 2, 0),""), IFERROR(VLOOKUP("", Config!$J$2:$K$9, 2, 0),""))</f>
      </c>
      <c r="AA34" s="6" t="s">
        <v>60</v>
      </c>
      <c r="AB34" s="6">
        <f>IFERROR(VLOOKUP("", CONFIG!$M$2:$N$8, 2, 0),"")</f>
      </c>
      <c r="AC34" s="6">
        <f>IF(0=0, "", "0 tháng")</f>
      </c>
      <c r="AD34" s="6">
        <f>IFERROR(VLOOKUP("1", CONFIG!$D$2:$E$8, 2, 0),"")</f>
      </c>
      <c r="AE34" s="6" t="s">
        <v>255</v>
      </c>
      <c r="AF34" s="6" t="s">
        <v>54</v>
      </c>
      <c r="AG34" s="6" t="s">
        <v>54</v>
      </c>
      <c r="AH34" s="6" t="s">
        <v>62</v>
      </c>
    </row>
    <row r="35">
      <c r="A35" s="5">
        <f>ROW()-ROW(A3)</f>
      </c>
      <c r="B35" s="6" t="s">
        <v>256</v>
      </c>
      <c r="C35" s="6" t="n">
        <v>799972371</v>
      </c>
      <c r="D35" s="6" t="s">
        <v>50</v>
      </c>
      <c r="E35" s="6" t="s">
        <v>51</v>
      </c>
      <c r="F35" s="6" t="s">
        <v>52</v>
      </c>
      <c r="G35" s="6" t="s">
        <v>257</v>
      </c>
      <c r="H35" s="6" t="s">
        <v>54</v>
      </c>
      <c r="I35" s="6" t="s">
        <v>54</v>
      </c>
      <c r="J35" s="6" t="s">
        <v>257</v>
      </c>
      <c r="K35" s="6" t="s">
        <v>54</v>
      </c>
      <c r="L35" s="6" t="s">
        <v>258</v>
      </c>
      <c r="M35" s="6" t="s">
        <v>259</v>
      </c>
      <c r="N35" s="6" t="s">
        <v>260</v>
      </c>
      <c r="O35" s="6"/>
      <c r="P35" s="6"/>
      <c r="Q35" s="7" t="n">
        <v>283000</v>
      </c>
      <c r="R35" s="7" t="n">
        <v>283000</v>
      </c>
      <c r="S35" s="6" t="s">
        <v>261</v>
      </c>
      <c r="T35" s="6" t="s">
        <v>54</v>
      </c>
      <c r="U35" s="6" t="s">
        <v>59</v>
      </c>
      <c r="V35" s="6">
        <f>VLOOKUP("02", CONFIG!$G$2:$H$24, 2, 0)</f>
      </c>
      <c r="W35" s="6"/>
      <c r="X35" s="6">
        <f>IFERROR(VLOOKUP("09", CONFIG!$S$2:$T$12, 2, 0),"")</f>
      </c>
      <c r="Y35" s="6">
        <f>IFERROR(VLOOKUP("1", CONFIG!$A$2:$B$5, 2, 0),"")</f>
      </c>
      <c r="Z35" s="6">
        <f>IF(1=1, IFERROR(VLOOKUP("06", Config!$J$2:$K$9, 2, 0),""), IFERROR(VLOOKUP("", Config!$J$2:$K$9, 2, 0),""))</f>
      </c>
      <c r="AA35" s="6" t="s">
        <v>60</v>
      </c>
      <c r="AB35" s="6">
        <f>IFERROR(VLOOKUP("", CONFIG!$M$2:$N$8, 2, 0),"")</f>
      </c>
      <c r="AC35" s="6">
        <f>IF(0=0, "", "0 tháng")</f>
      </c>
      <c r="AD35" s="6">
        <f>IFERROR(VLOOKUP("1", CONFIG!$D$2:$E$8, 2, 0),"")</f>
      </c>
      <c r="AE35" s="6" t="s">
        <v>262</v>
      </c>
      <c r="AF35" s="6" t="s">
        <v>54</v>
      </c>
      <c r="AG35" s="6" t="s">
        <v>54</v>
      </c>
      <c r="AH35" s="6" t="s">
        <v>62</v>
      </c>
    </row>
    <row r="36">
      <c r="A36" s="5">
        <f>ROW()-ROW(A3)</f>
      </c>
      <c r="B36" s="6" t="s">
        <v>263</v>
      </c>
      <c r="C36" s="6" t="n">
        <v>799937908</v>
      </c>
      <c r="D36" s="6" t="s">
        <v>50</v>
      </c>
      <c r="E36" s="6" t="s">
        <v>51</v>
      </c>
      <c r="F36" s="6" t="s">
        <v>52</v>
      </c>
      <c r="G36" s="6" t="s">
        <v>264</v>
      </c>
      <c r="H36" s="6" t="s">
        <v>54</v>
      </c>
      <c r="I36" s="6" t="s">
        <v>54</v>
      </c>
      <c r="J36" s="6" t="s">
        <v>264</v>
      </c>
      <c r="K36" s="6" t="s">
        <v>54</v>
      </c>
      <c r="L36" s="6" t="s">
        <v>265</v>
      </c>
      <c r="M36" s="6" t="s">
        <v>266</v>
      </c>
      <c r="N36" s="6" t="s">
        <v>267</v>
      </c>
      <c r="O36" s="6"/>
      <c r="P36" s="6"/>
      <c r="Q36" s="7" t="n">
        <v>291000</v>
      </c>
      <c r="R36" s="7" t="n">
        <v>291000</v>
      </c>
      <c r="S36" s="6" t="s">
        <v>199</v>
      </c>
      <c r="T36" s="6" t="s">
        <v>54</v>
      </c>
      <c r="U36" s="6" t="s">
        <v>59</v>
      </c>
      <c r="V36" s="6">
        <f>VLOOKUP("02", CONFIG!$G$2:$H$24, 2, 0)</f>
      </c>
      <c r="W36" s="6"/>
      <c r="X36" s="6">
        <f>IFERROR(VLOOKUP("09", CONFIG!$S$2:$T$12, 2, 0),"")</f>
      </c>
      <c r="Y36" s="6">
        <f>IFERROR(VLOOKUP("1", CONFIG!$A$2:$B$5, 2, 0),"")</f>
      </c>
      <c r="Z36" s="6">
        <f>IF(1=1, IFERROR(VLOOKUP("06", Config!$J$2:$K$9, 2, 0),""), IFERROR(VLOOKUP("", Config!$J$2:$K$9, 2, 0),""))</f>
      </c>
      <c r="AA36" s="6" t="s">
        <v>60</v>
      </c>
      <c r="AB36" s="6">
        <f>IFERROR(VLOOKUP("", CONFIG!$M$2:$N$8, 2, 0),"")</f>
      </c>
      <c r="AC36" s="6">
        <f>IF(0=0, "", "0 tháng")</f>
      </c>
      <c r="AD36" s="6">
        <f>IFERROR(VLOOKUP("1", CONFIG!$D$2:$E$8, 2, 0),"")</f>
      </c>
      <c r="AE36" s="6" t="s">
        <v>268</v>
      </c>
      <c r="AF36" s="6" t="s">
        <v>54</v>
      </c>
      <c r="AG36" s="6" t="s">
        <v>54</v>
      </c>
      <c r="AH36" s="6" t="s">
        <v>62</v>
      </c>
    </row>
    <row r="37">
      <c r="A37" s="5">
        <f>ROW()-ROW(A3)</f>
      </c>
      <c r="B37" s="6" t="s">
        <v>269</v>
      </c>
      <c r="C37" s="6" t="n">
        <v>799909865</v>
      </c>
      <c r="D37" s="6" t="s">
        <v>50</v>
      </c>
      <c r="E37" s="6" t="s">
        <v>51</v>
      </c>
      <c r="F37" s="6" t="s">
        <v>52</v>
      </c>
      <c r="G37" s="6" t="s">
        <v>270</v>
      </c>
      <c r="H37" s="6" t="s">
        <v>54</v>
      </c>
      <c r="I37" s="6" t="s">
        <v>54</v>
      </c>
      <c r="J37" s="6" t="s">
        <v>270</v>
      </c>
      <c r="K37" s="6" t="s">
        <v>54</v>
      </c>
      <c r="L37" s="6" t="s">
        <v>271</v>
      </c>
      <c r="M37" s="6" t="s">
        <v>272</v>
      </c>
      <c r="N37" s="6" t="s">
        <v>273</v>
      </c>
      <c r="O37" s="6"/>
      <c r="P37" s="6"/>
      <c r="Q37" s="7" t="n">
        <v>1005000</v>
      </c>
      <c r="R37" s="7" t="n">
        <v>1005000</v>
      </c>
      <c r="S37" s="6" t="s">
        <v>274</v>
      </c>
      <c r="T37" s="6" t="s">
        <v>54</v>
      </c>
      <c r="U37" s="6" t="s">
        <v>59</v>
      </c>
      <c r="V37" s="6">
        <f>VLOOKUP("02", CONFIG!$G$2:$H$24, 2, 0)</f>
      </c>
      <c r="W37" s="6"/>
      <c r="X37" s="6">
        <f>IFERROR(VLOOKUP("09", CONFIG!$S$2:$T$12, 2, 0),"")</f>
      </c>
      <c r="Y37" s="6">
        <f>IFERROR(VLOOKUP("1", CONFIG!$A$2:$B$5, 2, 0),"")</f>
      </c>
      <c r="Z37" s="6">
        <f>IF(1=1, IFERROR(VLOOKUP("06", Config!$J$2:$K$9, 2, 0),""), IFERROR(VLOOKUP("", Config!$J$2:$K$9, 2, 0),""))</f>
      </c>
      <c r="AA37" s="6" t="s">
        <v>60</v>
      </c>
      <c r="AB37" s="6">
        <f>IFERROR(VLOOKUP("", CONFIG!$M$2:$N$8, 2, 0),"")</f>
      </c>
      <c r="AC37" s="6">
        <f>IF(0=0, "", "0 tháng")</f>
      </c>
      <c r="AD37" s="6">
        <f>IFERROR(VLOOKUP("1", CONFIG!$D$2:$E$8, 2, 0),"")</f>
      </c>
      <c r="AE37" s="6" t="s">
        <v>275</v>
      </c>
      <c r="AF37" s="6" t="s">
        <v>54</v>
      </c>
      <c r="AG37" s="6" t="s">
        <v>54</v>
      </c>
      <c r="AH37" s="6" t="s">
        <v>62</v>
      </c>
    </row>
    <row r="38">
      <c r="A38" s="5">
        <f>ROW()-ROW(A3)</f>
      </c>
      <c r="B38" s="6" t="s">
        <v>276</v>
      </c>
      <c r="C38" s="6" t="n">
        <v>799907480</v>
      </c>
      <c r="D38" s="6" t="s">
        <v>50</v>
      </c>
      <c r="E38" s="6" t="s">
        <v>51</v>
      </c>
      <c r="F38" s="6" t="s">
        <v>52</v>
      </c>
      <c r="G38" s="6" t="s">
        <v>277</v>
      </c>
      <c r="H38" s="6" t="s">
        <v>54</v>
      </c>
      <c r="I38" s="6" t="s">
        <v>54</v>
      </c>
      <c r="J38" s="6" t="s">
        <v>277</v>
      </c>
      <c r="K38" s="6" t="s">
        <v>54</v>
      </c>
      <c r="L38" s="6" t="s">
        <v>183</v>
      </c>
      <c r="M38" s="6" t="s">
        <v>184</v>
      </c>
      <c r="N38" s="6" t="s">
        <v>185</v>
      </c>
      <c r="O38" s="6"/>
      <c r="P38" s="6"/>
      <c r="Q38" s="7" t="n">
        <v>1099000</v>
      </c>
      <c r="R38" s="7" t="n">
        <v>1099000</v>
      </c>
      <c r="S38" s="6" t="s">
        <v>278</v>
      </c>
      <c r="T38" s="6" t="s">
        <v>54</v>
      </c>
      <c r="U38" s="6" t="s">
        <v>59</v>
      </c>
      <c r="V38" s="6">
        <f>VLOOKUP("02", CONFIG!$G$2:$H$24, 2, 0)</f>
      </c>
      <c r="W38" s="6"/>
      <c r="X38" s="6">
        <f>IFERROR(VLOOKUP("09", CONFIG!$S$2:$T$12, 2, 0),"")</f>
      </c>
      <c r="Y38" s="6">
        <f>IFERROR(VLOOKUP("1", CONFIG!$A$2:$B$5, 2, 0),"")</f>
      </c>
      <c r="Z38" s="6">
        <f>IF(1=1, IFERROR(VLOOKUP("06", Config!$J$2:$K$9, 2, 0),""), IFERROR(VLOOKUP("", Config!$J$2:$K$9, 2, 0),""))</f>
      </c>
      <c r="AA38" s="6" t="s">
        <v>60</v>
      </c>
      <c r="AB38" s="6">
        <f>IFERROR(VLOOKUP("", CONFIG!$M$2:$N$8, 2, 0),"")</f>
      </c>
      <c r="AC38" s="6">
        <f>IF(0=0, "", "0 tháng")</f>
      </c>
      <c r="AD38" s="6">
        <f>IFERROR(VLOOKUP("1", CONFIG!$D$2:$E$8, 2, 0),"")</f>
      </c>
      <c r="AE38" s="6" t="s">
        <v>279</v>
      </c>
      <c r="AF38" s="6" t="s">
        <v>54</v>
      </c>
      <c r="AG38" s="6" t="s">
        <v>54</v>
      </c>
      <c r="AH38" s="6" t="s">
        <v>62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2025-11-14T08:33:12.144Z</dcterms:created>
  <dc:creator>Application</dc:creator>
</cp:coreProperties>
</file>