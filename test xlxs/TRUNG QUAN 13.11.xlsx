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Config" r:id="rId3" sheetId="1" state="hidden"/>
    <sheet name="Sheet1" r:id="rId4" sheetId="2"/>
  </sheets>
  <definedNames/>
</workbook>
</file>

<file path=xl/sharedStrings.xml><?xml version="1.0" encoding="utf-8"?>
<sst xmlns="http://schemas.openxmlformats.org/spreadsheetml/2006/main" count="286" uniqueCount="172">
  <si>
    <t>BÁO CÁO CHI TIẾT GIAO DỊCH</t>
  </si>
  <si>
    <t>STT</t>
  </si>
  <si>
    <t>Thời gian GD</t>
  </si>
  <si>
    <t>Mã giao dịch</t>
  </si>
  <si>
    <t>Chi nhánh</t>
  </si>
  <si>
    <t>Mã điểm thu</t>
  </si>
  <si>
    <t>Điểm thu</t>
  </si>
  <si>
    <t>Số hóa đơn</t>
  </si>
  <si>
    <t>Số hợp đồng</t>
  </si>
  <si>
    <t>Mã đơn hàng</t>
  </si>
  <si>
    <t>Mã trừ tiền/Mã chuẩn chi</t>
  </si>
  <si>
    <t>Mã khuyến mại</t>
  </si>
  <si>
    <t>Số điện thoại</t>
  </si>
  <si>
    <t>Tên khách hàng</t>
  </si>
  <si>
    <t>Số TK/Thẻ</t>
  </si>
  <si>
    <t>Loại giao dịch</t>
  </si>
  <si>
    <t>Dịch vụ</t>
  </si>
  <si>
    <t>1</t>
  </si>
  <si>
    <t>QR</t>
  </si>
  <si>
    <t>2</t>
  </si>
  <si>
    <t>CTT</t>
  </si>
  <si>
    <t>3</t>
  </si>
  <si>
    <t>SmartPOS</t>
  </si>
  <si>
    <t>4</t>
  </si>
  <si>
    <t>PhonePOS</t>
  </si>
  <si>
    <t>Trạng thái</t>
  </si>
  <si>
    <t>Thành công</t>
  </si>
  <si>
    <t>Không thành công</t>
  </si>
  <si>
    <t>Nghi vấn</t>
  </si>
  <si>
    <t>Hủy không thành công</t>
  </si>
  <si>
    <t>5</t>
  </si>
  <si>
    <t>Hủy thành công</t>
  </si>
  <si>
    <t>6</t>
  </si>
  <si>
    <t>Đang thực hiện</t>
  </si>
  <si>
    <t>8</t>
  </si>
  <si>
    <t>Hết hạn thanh toán</t>
  </si>
  <si>
    <t>Loại thẻ/Tài khoản</t>
  </si>
  <si>
    <t>01</t>
  </si>
  <si>
    <t>Tài khoản nội địa</t>
  </si>
  <si>
    <t>02</t>
  </si>
  <si>
    <t>Visa</t>
  </si>
  <si>
    <t>03</t>
  </si>
  <si>
    <t>Thẻ nội địa</t>
  </si>
  <si>
    <t>04</t>
  </si>
  <si>
    <t>Unionpay</t>
  </si>
  <si>
    <t>05</t>
  </si>
  <si>
    <t>Master</t>
  </si>
  <si>
    <t>06</t>
  </si>
  <si>
    <t>Jcb</t>
  </si>
  <si>
    <t>07</t>
  </si>
  <si>
    <t>Tài khoản ví</t>
  </si>
  <si>
    <t>09</t>
  </si>
  <si>
    <t>Thẻ Amex</t>
  </si>
  <si>
    <t>10</t>
  </si>
  <si>
    <t>Thẻ Diners club</t>
  </si>
  <si>
    <t>12</t>
  </si>
  <si>
    <t>Thẻ VNPAY</t>
  </si>
  <si>
    <t>13</t>
  </si>
  <si>
    <t>Ví trả sau</t>
  </si>
  <si>
    <t>ACC</t>
  </si>
  <si>
    <t>VISA</t>
  </si>
  <si>
    <t>ATM</t>
  </si>
  <si>
    <t>UPI</t>
  </si>
  <si>
    <t>MASTERCARD</t>
  </si>
  <si>
    <t>Mastercard</t>
  </si>
  <si>
    <t>JCB</t>
  </si>
  <si>
    <t>Kênh thanh toán KTS</t>
  </si>
  <si>
    <t>EW</t>
  </si>
  <si>
    <t>Số tiền trước KM</t>
  </si>
  <si>
    <t>Số tiền sau KM</t>
  </si>
  <si>
    <t>VNPAY_CARD</t>
  </si>
  <si>
    <t>Chi tiết sản phẩm</t>
  </si>
  <si>
    <t>EW_PAY_LATER</t>
  </si>
  <si>
    <t>Thông tin đặt hàng</t>
  </si>
  <si>
    <t>Ngân hàng</t>
  </si>
  <si>
    <t>Kênh thanh toán</t>
  </si>
  <si>
    <t>Loại phát hành</t>
  </si>
  <si>
    <t>QR-Cổng</t>
  </si>
  <si>
    <t>Nguồn tiền</t>
  </si>
  <si>
    <t>QR-Billing</t>
  </si>
  <si>
    <t>QR-Sản phẩm</t>
  </si>
  <si>
    <t>QR-Offline</t>
  </si>
  <si>
    <t>YC trả góp</t>
  </si>
  <si>
    <t>QR-Customer</t>
  </si>
  <si>
    <t>Trạng thái trả góp</t>
  </si>
  <si>
    <t>Kỳ hạn</t>
  </si>
  <si>
    <t>Thanh toán qua web</t>
  </si>
  <si>
    <t>Thời gian đối soát</t>
  </si>
  <si>
    <t>Thanh toán qua token</t>
  </si>
  <si>
    <t>Ghi chú</t>
  </si>
  <si>
    <t>Thanh toán qua Qrcode</t>
  </si>
  <si>
    <t>Thông tin bổ sung</t>
  </si>
  <si>
    <t>Trạng thái trả góp của CTT</t>
  </si>
  <si>
    <t>Mã lỗi bank</t>
  </si>
  <si>
    <t>00</t>
  </si>
  <si>
    <t>Chuyển đổi thành công</t>
  </si>
  <si>
    <t>Chờ chuyển đổi</t>
  </si>
  <si>
    <t>Đã gửi Bank chuyển đổi</t>
  </si>
  <si>
    <t>Chuyển đổi không thành công</t>
  </si>
  <si>
    <t>Huỷ chuyển đổi</t>
  </si>
  <si>
    <t>Chưa xác định</t>
  </si>
  <si>
    <t>13/11/2025 15:01:43</t>
  </si>
  <si>
    <t>Giao dịch thường</t>
  </si>
  <si>
    <t>TRUNG QUÂN</t>
  </si>
  <si>
    <t>Giao dịch hoàn</t>
  </si>
  <si>
    <t>TQ000001</t>
  </si>
  <si>
    <t>TRUNGQUAN326HBT01</t>
  </si>
  <si>
    <t>mUSS</t>
  </si>
  <si>
    <t/>
  </si>
  <si>
    <t>Giao dịch trả góp</t>
  </si>
  <si>
    <t>Giao dịch Định kỳ</t>
  </si>
  <si>
    <t>20408856199908352</t>
  </si>
  <si>
    <t>Giao dịch Authorize</t>
  </si>
  <si>
    <t>052xxxx613</t>
  </si>
  <si>
    <t>Khch *** 0522637613</t>
  </si>
  <si>
    <t>Giao dịch Capture</t>
  </si>
  <si>
    <t>201545xxxxxxx9728</t>
  </si>
  <si>
    <t>08</t>
  </si>
  <si>
    <t>BPSP</t>
  </si>
  <si>
    <t>1: \1\19998000
</t>
  </si>
  <si>
    <t>MerchantView</t>
  </si>
  <si>
    <t>VNPAYEWALLET</t>
  </si>
  <si>
    <t>7</t>
  </si>
  <si>
    <t>MOTO</t>
  </si>
  <si>
    <t>SALE</t>
  </si>
  <si>
    <t>ODA</t>
  </si>
  <si>
    <t>Offline sale</t>
  </si>
  <si>
    <t>Thẻ nội địa/tài khoản ngân hàng</t>
  </si>
  <si>
    <t>Thẻ Quốc tế phát hành trong nước</t>
  </si>
  <si>
    <t>Thẻ Quốc tế phát hành nước ngoài</t>
  </si>
  <si>
    <t>Ví điện tử</t>
  </si>
  <si>
    <t>Không</t>
  </si>
  <si>
    <t>Digital Pay - Thẻ nội địa</t>
  </si>
  <si>
    <t>Digital Pay - Thẻ Quốc tế phát hành trong nước</t>
  </si>
  <si>
    <t>Digital Pay - Thẻ Quốc tế phát hành nước ngoài</t>
  </si>
  <si>
    <t>Thẻ quốc tế phát hành nước ngoài</t>
  </si>
  <si>
    <t>Thẻ quốc tế phát hành trong nước</t>
  </si>
  <si>
    <t>Thẻ ghi nợ nội địa</t>
  </si>
  <si>
    <t>11</t>
  </si>
  <si>
    <t>14/11/2025 15:01:43</t>
  </si>
  <si>
    <t>Thẻ tín dụng nội địa </t>
  </si>
  <si>
    <t>VNPAY</t>
  </si>
  <si>
    <t>APPLE PAY</t>
  </si>
  <si>
    <t>13/11/2025 14:59:33</t>
  </si>
  <si>
    <t>GOOGLE PAY</t>
  </si>
  <si>
    <t>Trạng thái trả góp SmartPOS</t>
  </si>
  <si>
    <t>0</t>
  </si>
  <si>
    <t>Khởi tạo</t>
  </si>
  <si>
    <t>djha</t>
  </si>
  <si>
    <t>Đã gửi bank chuyển đổi</t>
  </si>
  <si>
    <t>20408850307361792</t>
  </si>
  <si>
    <t>Đang xử lý hủy</t>
  </si>
  <si>
    <t>035xxxx530</t>
  </si>
  <si>
    <t>Khch *** 0355016530</t>
  </si>
  <si>
    <t>197736xxxxxxx1760</t>
  </si>
  <si>
    <t>70</t>
  </si>
  <si>
    <t>1: \1\19865000
</t>
  </si>
  <si>
    <t>71</t>
  </si>
  <si>
    <t>Hủy chuyển đổi</t>
  </si>
  <si>
    <t>72</t>
  </si>
  <si>
    <t>73</t>
  </si>
  <si>
    <t>14/11/2025 14:59:33</t>
  </si>
  <si>
    <t>13/11/2025 12:06:48</t>
  </si>
  <si>
    <t>LAA</t>
  </si>
  <si>
    <t>20408171403488256</t>
  </si>
  <si>
    <t>087xxxx659</t>
  </si>
  <si>
    <t>L *** c</t>
  </si>
  <si>
    <t>192523xxxxxxx8016</t>
  </si>
  <si>
    <t>1: \1\10002000
</t>
  </si>
  <si>
    <t>14/11/2025 12:06:48</t>
  </si>
  <si>
    <t>Tổng số giao dịch:</t>
  </si>
  <si>
    <t>Tổng giá trị giao dịch:</t>
  </si>
</sst>
</file>

<file path=xl/styles.xml><?xml version="1.0" encoding="utf-8"?>
<styleSheet xmlns="http://schemas.openxmlformats.org/spreadsheetml/2006/main">
  <numFmts count="1">
    <numFmt numFmtId="165" formatCode="#,##0"/>
  </numFmts>
  <fonts count="7">
    <font>
      <sz val="11.00"/>
      <color rgb="FF000000"/>
      <name val="Calibri"/>
    </font>
    <font>
      <b/>
      <sz val="14.00"/>
      <color rgb="FFFFFF"/>
      <name val="Times New Roman"/>
    </font>
    <font>
      <b/>
      <sz val="12.00"/>
      <color rgb="110102"/>
      <name val="Times New Roman"/>
    </font>
    <font>
      <b/>
      <sz val="14.00"/>
      <color rgb="000000"/>
      <name val="Times New Roman"/>
    </font>
    <font>
      <sz val="14.00"/>
      <color rgb="000000"/>
      <name val="Times New Roman"/>
    </font>
    <font>
      <sz val="12.00"/>
      <color rgb="110102"/>
      <name val="Times New Roman"/>
    </font>
    <font>
      <b/>
      <sz val="11.00"/>
      <color rgb="1101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00B050"/>
      </patternFill>
    </fill>
    <fill>
      <patternFill patternType="solid">
        <fgColor rgb="FFFF00"/>
      </patternFill>
    </fill>
    <fill>
      <patternFill patternType="solid">
        <fgColor rgb="8EB4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Border="1">
      <alignment horizontal="center" vertical="center"/>
    </xf>
    <xf numFmtId="0" fontId="2" fillId="3" borderId="1" xfId="0" applyBorder="1">
      <alignment horizontal="center" vertical="center"/>
    </xf>
    <xf numFmtId="0" fontId="3" fillId="4" borderId="1" xfId="0" applyBorder="1">
      <alignment horizontal="center" vertical="center"/>
    </xf>
    <xf numFmtId="0" fontId="4" fillId="0" borderId="1" xfId="0" applyBorder="1">
      <alignment horizontal="center" vertical="center"/>
    </xf>
    <xf numFmtId="0" fontId="5" fillId="0" borderId="1" xfId="0" applyBorder="1">
      <alignment horizontal="right" vertical="center"/>
    </xf>
    <xf numFmtId="0" fontId="5" fillId="0" borderId="1" xfId="0" applyBorder="1">
      <alignment horizontal="left" vertical="center"/>
    </xf>
    <xf numFmtId="165" fontId="5" fillId="0" borderId="1" xfId="0" applyBorder="1">
      <alignment horizontal="right" vertical="center"/>
    </xf>
    <xf numFmtId="0" fontId="6" fillId="0" borderId="1" xfId="0" applyBorder="1">
      <alignment horizontal="center" vertical="center"/>
    </xf>
    <xf numFmtId="0" fontId="6" fillId="0" borderId="1" xfId="0" applyBorder="1">
      <alignment horizontal="left" vertical="center"/>
    </xf>
    <xf numFmtId="165" fontId="6" fillId="0" borderId="1" xfId="0" applyBorder="1">
      <alignment horizontal="left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customWidth="true" bestFit="false"/>
    <col min="2" max="2" width="20.0" customWidth="true" bestFit="false"/>
    <col min="3" max="3" width="20.0" customWidth="true" bestFit="false"/>
    <col min="4" max="4" width="20.0" customWidth="true" bestFit="false"/>
    <col min="5" max="5" width="20.0" customWidth="true" bestFit="false"/>
    <col min="6" max="6" width="20.0" customWidth="true" bestFit="false"/>
    <col min="7" max="7" width="20.0" customWidth="true" bestFit="false"/>
    <col min="8" max="8" width="20.0" customWidth="true" bestFit="false"/>
    <col min="9" max="9" width="20.0" customWidth="true" bestFit="false"/>
    <col min="10" max="10" width="20.0" customWidth="true" bestFit="false"/>
    <col min="11" max="11" width="20.0" customWidth="true" bestFit="false"/>
    <col min="12" max="12" width="20.0" customWidth="true" bestFit="false"/>
    <col min="13" max="13" width="20.0" customWidth="true" bestFit="false"/>
    <col min="14" max="14" width="20.0" customWidth="true" bestFit="false"/>
    <col min="15" max="15" width="20.0" customWidth="true" bestFit="false"/>
    <col min="16" max="16" width="20.0" customWidth="true" bestFit="false"/>
    <col min="17" max="17" width="20.0" customWidth="true" bestFit="false"/>
    <col min="18" max="18" width="20.0" customWidth="true" bestFit="false"/>
    <col min="19" max="19" width="20.0" customWidth="true" bestFit="false"/>
    <col min="20" max="20" width="20.0" customWidth="true" bestFit="false"/>
    <col min="21" max="21" width="20.0" customWidth="true" bestFit="false"/>
    <col min="22" max="22" width="20.0" customWidth="true" bestFit="false"/>
    <col min="23" max="23" width="20.0" customWidth="true" bestFit="false"/>
    <col min="24" max="24" width="20.0" customWidth="true" bestFit="false"/>
    <col min="25" max="25" width="20.0" customWidth="true" bestFit="false"/>
    <col min="26" max="26" width="20.0" customWidth="true" bestFit="false"/>
  </cols>
  <sheetData>
    <row r="1" ht="22.0" customHeight="1">
      <c r="A1" s="3" t="s">
        <v>16</v>
      </c>
      <c r="D1" s="3" t="s">
        <v>25</v>
      </c>
      <c r="G1" s="3" t="s">
        <v>36</v>
      </c>
      <c r="J1" s="3" t="s">
        <v>75</v>
      </c>
      <c r="M1" s="3" t="s">
        <v>92</v>
      </c>
      <c r="P1" s="3" t="s">
        <v>15</v>
      </c>
      <c r="S1" s="3" t="s">
        <v>78</v>
      </c>
      <c r="V1" s="3" t="s">
        <v>66</v>
      </c>
      <c r="Y1" s="3" t="s">
        <v>145</v>
      </c>
    </row>
    <row r="2" ht="22.0" customHeight="1">
      <c r="A2" s="4" t="s">
        <v>17</v>
      </c>
      <c r="B2" s="4" t="s">
        <v>18</v>
      </c>
      <c r="D2" s="4" t="s">
        <v>17</v>
      </c>
      <c r="E2" s="4" t="s">
        <v>26</v>
      </c>
      <c r="G2" s="4" t="s">
        <v>37</v>
      </c>
      <c r="H2" s="4" t="s">
        <v>38</v>
      </c>
      <c r="J2" s="4" t="s">
        <v>39</v>
      </c>
      <c r="K2" s="4" t="s">
        <v>77</v>
      </c>
      <c r="M2" s="4" t="s">
        <v>94</v>
      </c>
      <c r="N2" s="4" t="s">
        <v>95</v>
      </c>
      <c r="P2" s="4" t="s">
        <v>37</v>
      </c>
      <c r="Q2" s="4" t="s">
        <v>102</v>
      </c>
      <c r="S2" s="4" t="s">
        <v>37</v>
      </c>
      <c r="T2" s="4" t="s">
        <v>127</v>
      </c>
      <c r="V2" s="4" t="s">
        <v>17</v>
      </c>
      <c r="W2" s="4" t="s">
        <v>141</v>
      </c>
      <c r="Y2" s="4" t="s">
        <v>146</v>
      </c>
      <c r="Z2" s="4" t="s">
        <v>147</v>
      </c>
    </row>
    <row r="3" ht="22.0" customHeight="1">
      <c r="A3" s="4" t="s">
        <v>19</v>
      </c>
      <c r="B3" s="4" t="s">
        <v>20</v>
      </c>
      <c r="D3" s="4" t="s">
        <v>19</v>
      </c>
      <c r="E3" s="4" t="s">
        <v>27</v>
      </c>
      <c r="G3" s="4" t="s">
        <v>39</v>
      </c>
      <c r="H3" s="4" t="s">
        <v>40</v>
      </c>
      <c r="J3" s="4" t="s">
        <v>43</v>
      </c>
      <c r="K3" s="4" t="s">
        <v>79</v>
      </c>
      <c r="M3" s="4" t="s">
        <v>37</v>
      </c>
      <c r="N3" s="4" t="s">
        <v>96</v>
      </c>
      <c r="P3" s="4" t="s">
        <v>39</v>
      </c>
      <c r="Q3" s="4" t="s">
        <v>104</v>
      </c>
      <c r="S3" s="4" t="s">
        <v>39</v>
      </c>
      <c r="T3" s="4" t="s">
        <v>128</v>
      </c>
      <c r="V3" s="4" t="s">
        <v>19</v>
      </c>
      <c r="W3" s="4" t="s">
        <v>142</v>
      </c>
      <c r="Y3" s="4" t="s">
        <v>17</v>
      </c>
      <c r="Z3" s="4" t="s">
        <v>96</v>
      </c>
    </row>
    <row r="4" ht="22.0" customHeight="1">
      <c r="A4" s="4" t="s">
        <v>21</v>
      </c>
      <c r="B4" s="4" t="s">
        <v>22</v>
      </c>
      <c r="D4" s="4" t="s">
        <v>21</v>
      </c>
      <c r="E4" s="4" t="s">
        <v>28</v>
      </c>
      <c r="G4" s="4" t="s">
        <v>41</v>
      </c>
      <c r="H4" s="4" t="s">
        <v>42</v>
      </c>
      <c r="J4" s="4" t="s">
        <v>45</v>
      </c>
      <c r="K4" s="4" t="s">
        <v>80</v>
      </c>
      <c r="M4" s="4" t="s">
        <v>39</v>
      </c>
      <c r="N4" s="4" t="s">
        <v>97</v>
      </c>
      <c r="P4" s="4" t="s">
        <v>41</v>
      </c>
      <c r="Q4" s="4" t="s">
        <v>104</v>
      </c>
      <c r="S4" s="4" t="s">
        <v>41</v>
      </c>
      <c r="T4" s="4" t="s">
        <v>129</v>
      </c>
      <c r="V4" s="4" t="s">
        <v>21</v>
      </c>
      <c r="W4" s="4" t="s">
        <v>144</v>
      </c>
      <c r="Y4" s="4" t="s">
        <v>19</v>
      </c>
      <c r="Z4" s="4" t="s">
        <v>149</v>
      </c>
    </row>
    <row r="5" ht="22.0" customHeight="1">
      <c r="A5" s="4" t="s">
        <v>23</v>
      </c>
      <c r="B5" s="4" t="s">
        <v>24</v>
      </c>
      <c r="D5" s="4" t="s">
        <v>23</v>
      </c>
      <c r="E5" s="4" t="s">
        <v>29</v>
      </c>
      <c r="G5" s="4" t="s">
        <v>43</v>
      </c>
      <c r="H5" s="4" t="s">
        <v>44</v>
      </c>
      <c r="J5" s="4" t="s">
        <v>47</v>
      </c>
      <c r="K5" s="4" t="s">
        <v>81</v>
      </c>
      <c r="M5" s="4" t="s">
        <v>41</v>
      </c>
      <c r="N5" s="4" t="s">
        <v>98</v>
      </c>
      <c r="P5" s="4" t="s">
        <v>43</v>
      </c>
      <c r="Q5" s="4" t="s">
        <v>109</v>
      </c>
      <c r="S5" s="4" t="s">
        <v>43</v>
      </c>
      <c r="T5" s="4" t="s">
        <v>130</v>
      </c>
      <c r="Y5" s="4" t="s">
        <v>21</v>
      </c>
      <c r="Z5" s="4" t="s">
        <v>151</v>
      </c>
    </row>
    <row r="6" ht="22.0" customHeight="1">
      <c r="D6" s="4" t="s">
        <v>30</v>
      </c>
      <c r="E6" s="4" t="s">
        <v>31</v>
      </c>
      <c r="G6" s="4" t="s">
        <v>45</v>
      </c>
      <c r="H6" s="4" t="s">
        <v>46</v>
      </c>
      <c r="J6" s="4" t="s">
        <v>51</v>
      </c>
      <c r="K6" s="4" t="s">
        <v>83</v>
      </c>
      <c r="M6" s="4" t="s">
        <v>43</v>
      </c>
      <c r="N6" s="4" t="s">
        <v>99</v>
      </c>
      <c r="P6" s="4" t="s">
        <v>45</v>
      </c>
      <c r="Q6" s="4" t="s">
        <v>110</v>
      </c>
      <c r="S6" s="4" t="s">
        <v>45</v>
      </c>
      <c r="T6" s="4" t="s">
        <v>132</v>
      </c>
      <c r="Y6" s="4" t="s">
        <v>23</v>
      </c>
      <c r="Z6" s="4" t="s">
        <v>151</v>
      </c>
    </row>
    <row r="7" ht="22.0" customHeight="1">
      <c r="D7" s="4" t="s">
        <v>32</v>
      </c>
      <c r="E7" s="4" t="s">
        <v>33</v>
      </c>
      <c r="G7" s="4" t="s">
        <v>47</v>
      </c>
      <c r="H7" s="4" t="s">
        <v>48</v>
      </c>
      <c r="J7" s="4" t="s">
        <v>17</v>
      </c>
      <c r="K7" s="4" t="s">
        <v>86</v>
      </c>
      <c r="M7" s="4" t="s">
        <v>45</v>
      </c>
      <c r="N7" s="4" t="s">
        <v>100</v>
      </c>
      <c r="P7" s="4" t="s">
        <v>47</v>
      </c>
      <c r="Q7" s="4" t="s">
        <v>112</v>
      </c>
      <c r="S7" s="4" t="s">
        <v>47</v>
      </c>
      <c r="T7" s="4" t="s">
        <v>133</v>
      </c>
      <c r="Y7" s="4" t="s">
        <v>32</v>
      </c>
      <c r="Z7" s="4" t="s">
        <v>95</v>
      </c>
    </row>
    <row r="8" ht="22.0" customHeight="1">
      <c r="D8" s="4" t="s">
        <v>34</v>
      </c>
      <c r="E8" s="4" t="s">
        <v>35</v>
      </c>
      <c r="G8" s="4" t="s">
        <v>49</v>
      </c>
      <c r="H8" s="4" t="s">
        <v>50</v>
      </c>
      <c r="J8" s="4" t="s">
        <v>19</v>
      </c>
      <c r="K8" s="4" t="s">
        <v>88</v>
      </c>
      <c r="P8" s="4" t="s">
        <v>49</v>
      </c>
      <c r="Q8" s="4" t="s">
        <v>115</v>
      </c>
      <c r="S8" s="4" t="s">
        <v>49</v>
      </c>
      <c r="T8" s="4" t="s">
        <v>134</v>
      </c>
      <c r="Y8" s="4" t="s">
        <v>122</v>
      </c>
      <c r="Z8" s="4" t="s">
        <v>98</v>
      </c>
    </row>
    <row r="9" ht="22.0" customHeight="1">
      <c r="G9" s="4" t="s">
        <v>51</v>
      </c>
      <c r="H9" s="4" t="s">
        <v>52</v>
      </c>
      <c r="J9" s="4" t="s">
        <v>21</v>
      </c>
      <c r="K9" s="4" t="s">
        <v>90</v>
      </c>
      <c r="P9" s="4" t="s">
        <v>117</v>
      </c>
      <c r="Q9" s="4" t="s">
        <v>118</v>
      </c>
      <c r="S9" s="4" t="s">
        <v>117</v>
      </c>
      <c r="T9" s="4" t="s">
        <v>135</v>
      </c>
      <c r="Y9" s="4" t="s">
        <v>155</v>
      </c>
      <c r="Z9" s="4" t="s">
        <v>29</v>
      </c>
    </row>
    <row r="10" ht="22.0" customHeight="1">
      <c r="G10" s="4" t="s">
        <v>53</v>
      </c>
      <c r="H10" s="4" t="s">
        <v>54</v>
      </c>
      <c r="P10" s="4" t="s">
        <v>17</v>
      </c>
      <c r="Q10" s="4" t="s">
        <v>102</v>
      </c>
      <c r="S10" s="4" t="s">
        <v>51</v>
      </c>
      <c r="T10" s="4" t="s">
        <v>136</v>
      </c>
      <c r="Y10" s="4" t="s">
        <v>157</v>
      </c>
      <c r="Z10" s="4" t="s">
        <v>158</v>
      </c>
    </row>
    <row r="11" ht="22.0" customHeight="1">
      <c r="G11" s="4" t="s">
        <v>55</v>
      </c>
      <c r="H11" s="4" t="s">
        <v>56</v>
      </c>
      <c r="P11" s="4" t="s">
        <v>19</v>
      </c>
      <c r="Q11" s="4" t="s">
        <v>104</v>
      </c>
      <c r="S11" s="4" t="s">
        <v>53</v>
      </c>
      <c r="T11" s="4" t="s">
        <v>137</v>
      </c>
      <c r="Y11" s="4" t="s">
        <v>159</v>
      </c>
      <c r="Z11" s="4" t="s">
        <v>158</v>
      </c>
    </row>
    <row r="12" ht="22.0" customHeight="1">
      <c r="G12" s="4" t="s">
        <v>57</v>
      </c>
      <c r="H12" s="4" t="s">
        <v>58</v>
      </c>
      <c r="P12" s="4" t="s">
        <v>21</v>
      </c>
      <c r="Q12" s="4" t="s">
        <v>104</v>
      </c>
      <c r="S12" s="4" t="s">
        <v>138</v>
      </c>
      <c r="T12" s="4" t="s">
        <v>140</v>
      </c>
      <c r="Y12" s="4" t="s">
        <v>160</v>
      </c>
      <c r="Z12" s="4" t="s">
        <v>158</v>
      </c>
    </row>
    <row r="13" ht="22.0" customHeight="1">
      <c r="G13" s="4" t="s">
        <v>59</v>
      </c>
      <c r="H13" s="4" t="s">
        <v>38</v>
      </c>
      <c r="P13" s="4" t="s">
        <v>23</v>
      </c>
      <c r="Q13" s="4" t="s">
        <v>109</v>
      </c>
      <c r="Y13" s="4" t="s">
        <v>30</v>
      </c>
      <c r="Z13" s="4" t="s">
        <v>100</v>
      </c>
    </row>
    <row r="14" ht="22.0" customHeight="1">
      <c r="G14" s="4" t="s">
        <v>60</v>
      </c>
      <c r="H14" s="4" t="s">
        <v>40</v>
      </c>
      <c r="P14" s="4" t="s">
        <v>30</v>
      </c>
      <c r="Q14" s="4" t="s">
        <v>110</v>
      </c>
    </row>
    <row r="15" ht="22.0" customHeight="1">
      <c r="G15" s="4" t="s">
        <v>61</v>
      </c>
      <c r="H15" s="4" t="s">
        <v>42</v>
      </c>
      <c r="P15" s="4" t="s">
        <v>32</v>
      </c>
      <c r="Q15" s="4" t="s">
        <v>112</v>
      </c>
    </row>
    <row r="16" ht="22.0" customHeight="1">
      <c r="G16" s="4" t="s">
        <v>62</v>
      </c>
      <c r="H16" s="4" t="s">
        <v>44</v>
      </c>
      <c r="P16" s="4" t="s">
        <v>122</v>
      </c>
      <c r="Q16" s="4" t="s">
        <v>115</v>
      </c>
    </row>
    <row r="17" ht="22.0" customHeight="1">
      <c r="G17" s="4" t="s">
        <v>63</v>
      </c>
      <c r="H17" s="4" t="s">
        <v>64</v>
      </c>
      <c r="P17" s="4" t="s">
        <v>34</v>
      </c>
      <c r="Q17" s="4" t="s">
        <v>118</v>
      </c>
    </row>
    <row r="18" ht="22.0" customHeight="1">
      <c r="G18" s="4" t="s">
        <v>65</v>
      </c>
      <c r="H18" s="4" t="s">
        <v>48</v>
      </c>
      <c r="P18" s="4" t="s">
        <v>123</v>
      </c>
      <c r="Q18" s="4" t="s">
        <v>123</v>
      </c>
    </row>
    <row r="19" ht="22.0" customHeight="1">
      <c r="G19" s="4" t="s">
        <v>67</v>
      </c>
      <c r="H19" s="4" t="s">
        <v>50</v>
      </c>
      <c r="P19" s="4" t="s">
        <v>124</v>
      </c>
      <c r="Q19" s="4" t="s">
        <v>124</v>
      </c>
    </row>
    <row r="20" ht="22.0" customHeight="1">
      <c r="G20" s="4" t="s">
        <v>70</v>
      </c>
      <c r="H20" s="4" t="s">
        <v>56</v>
      </c>
      <c r="P20" s="4" t="s">
        <v>125</v>
      </c>
      <c r="Q20" s="4" t="s">
        <v>126</v>
      </c>
    </row>
    <row r="21" ht="22.0" customHeight="1">
      <c r="G21" s="4" t="s">
        <v>72</v>
      </c>
      <c r="H21" s="4" t="s">
        <v>58</v>
      </c>
    </row>
  </sheetData>
  <mergeCells>
    <mergeCell ref="D1:E1"/>
    <mergeCell ref="M1:N1"/>
    <mergeCell ref="J1:K1"/>
    <mergeCell ref="S1:T1"/>
    <mergeCell ref="P1:Q1"/>
    <mergeCell ref="A1:B1"/>
    <mergeCell ref="Y1:Z1"/>
    <mergeCell ref="V1:W1"/>
    <mergeCell ref="G1:H1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0" customWidth="true" bestFit="false"/>
    <col min="2" max="2" width="30.0" customWidth="true" bestFit="false"/>
    <col min="3" max="3" width="30.0" customWidth="true" bestFit="false"/>
    <col min="4" max="4" width="30.0" customWidth="true" bestFit="false"/>
    <col min="5" max="5" width="30.0" customWidth="true" bestFit="false"/>
    <col min="6" max="6" width="30.0" customWidth="true" bestFit="false"/>
    <col min="7" max="7" width="30.0" customWidth="true" bestFit="false"/>
    <col min="8" max="8" width="30.0" customWidth="true" bestFit="false"/>
    <col min="9" max="9" width="20.0" customWidth="true" bestFit="false"/>
    <col min="10" max="10" width="30.0" customWidth="true" bestFit="false"/>
    <col min="11" max="11" width="30.0" customWidth="true" bestFit="false"/>
    <col min="12" max="12" width="30.0" customWidth="true" bestFit="false"/>
    <col min="13" max="13" width="30.0" customWidth="true" bestFit="false"/>
    <col min="14" max="14" width="30.0" customWidth="true" bestFit="false"/>
    <col min="15" max="15" width="30.0" customWidth="true" bestFit="false"/>
    <col min="16" max="16" width="30.0" customWidth="true" bestFit="false"/>
    <col min="17" max="17" width="30.0" customWidth="true" bestFit="false"/>
    <col min="18" max="18" width="30.0" customWidth="true" bestFit="false"/>
    <col min="19" max="19" width="30.0" customWidth="true" bestFit="false"/>
    <col min="20" max="20" width="30.0" customWidth="true" bestFit="false"/>
    <col min="21" max="21" width="30.0" customWidth="true" bestFit="false"/>
    <col min="22" max="22" width="30.0" customWidth="true" bestFit="false"/>
    <col min="23" max="23" width="30.0" customWidth="true" bestFit="false"/>
    <col min="24" max="24" width="30.0" customWidth="true" bestFit="false"/>
    <col min="25" max="25" width="30.0" customWidth="true" bestFit="false"/>
    <col min="26" max="26" width="30.0" customWidth="true" bestFit="false"/>
    <col min="27" max="27" width="30.0" customWidth="true" bestFit="false"/>
    <col min="28" max="28" width="30.0" customWidth="true" bestFit="false"/>
    <col min="29" max="29" width="30.0" customWidth="true" bestFit="false"/>
    <col min="30" max="30" width="30.0" customWidth="true" bestFit="false"/>
    <col min="31" max="31" width="30.0" customWidth="true" bestFit="false"/>
    <col min="32" max="32" width="30.0" customWidth="true" bestFit="false"/>
    <col min="33" max="33" width="30.0" customWidth="true" bestFit="false"/>
    <col min="34" max="34" width="30.0" customWidth="true" bestFit="false"/>
  </cols>
  <sheetData>
    <row r="1" ht="30.0" customHeight="1">
      <c r="A1" s="1" t="s">
        <v>0</v>
      </c>
    </row>
    <row r="2" ht="22.0" customHeight="1">
      <c r="D2" s="8" t="s">
        <v>170</v>
      </c>
      <c r="E2" s="9">
        <f>COUNT(A4:A9)</f>
      </c>
      <c r="F2" s="8" t="s">
        <v>171</v>
      </c>
      <c r="G2" s="10">
        <f>SUM(Q4:Q9)</f>
      </c>
    </row>
    <row r="3" ht="20.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66</v>
      </c>
      <c r="Q3" s="2" t="s">
        <v>68</v>
      </c>
      <c r="R3" s="2" t="s">
        <v>69</v>
      </c>
      <c r="S3" s="2" t="s">
        <v>71</v>
      </c>
      <c r="T3" s="2" t="s">
        <v>73</v>
      </c>
      <c r="U3" s="2" t="s">
        <v>74</v>
      </c>
      <c r="V3" s="2" t="s">
        <v>36</v>
      </c>
      <c r="W3" s="2" t="s">
        <v>76</v>
      </c>
      <c r="X3" s="2" t="s">
        <v>78</v>
      </c>
      <c r="Y3" s="2" t="s">
        <v>16</v>
      </c>
      <c r="Z3" s="2" t="s">
        <v>75</v>
      </c>
      <c r="AA3" s="2" t="s">
        <v>82</v>
      </c>
      <c r="AB3" s="2" t="s">
        <v>84</v>
      </c>
      <c r="AC3" s="2" t="s">
        <v>85</v>
      </c>
      <c r="AD3" s="2" t="s">
        <v>25</v>
      </c>
      <c r="AE3" s="2" t="s">
        <v>87</v>
      </c>
      <c r="AF3" s="2" t="s">
        <v>89</v>
      </c>
      <c r="AG3" s="2" t="s">
        <v>91</v>
      </c>
      <c r="AH3" s="2" t="s">
        <v>93</v>
      </c>
    </row>
    <row r="4">
      <c r="A4" s="5">
        <f>ROW()-ROW(A3)</f>
      </c>
      <c r="B4" s="6" t="s">
        <v>101</v>
      </c>
      <c r="C4" s="6" t="n">
        <v>800226194</v>
      </c>
      <c r="D4" s="6" t="s">
        <v>103</v>
      </c>
      <c r="E4" s="6" t="s">
        <v>105</v>
      </c>
      <c r="F4" s="6" t="s">
        <v>106</v>
      </c>
      <c r="G4" s="6" t="s">
        <v>107</v>
      </c>
      <c r="H4" s="6" t="s">
        <v>108</v>
      </c>
      <c r="I4" s="6" t="s">
        <v>108</v>
      </c>
      <c r="J4" s="6" t="s">
        <v>111</v>
      </c>
      <c r="K4" s="6" t="s">
        <v>108</v>
      </c>
      <c r="L4" s="6" t="s">
        <v>113</v>
      </c>
      <c r="M4" s="6" t="s">
        <v>114</v>
      </c>
      <c r="N4" s="6" t="s">
        <v>116</v>
      </c>
      <c r="O4" s="6"/>
      <c r="P4" s="6"/>
      <c r="Q4" s="7" t="n">
        <v>19998000</v>
      </c>
      <c r="R4" s="7" t="n">
        <v>19998000</v>
      </c>
      <c r="S4" s="6" t="s">
        <v>119</v>
      </c>
      <c r="T4" s="6" t="s">
        <v>120</v>
      </c>
      <c r="U4" s="6" t="s">
        <v>121</v>
      </c>
      <c r="V4" s="6">
        <f>VLOOKUP("02", CONFIG!$G$2:$H$24, 2, 0)</f>
      </c>
      <c r="W4" s="6"/>
      <c r="X4" s="6">
        <f>IFERROR(VLOOKUP("09", CONFIG!$S$2:$T$12, 2, 0),"")</f>
      </c>
      <c r="Y4" s="6">
        <f>IFERROR(VLOOKUP("1", CONFIG!$A$2:$B$5, 2, 0),"")</f>
      </c>
      <c r="Z4" s="6">
        <f>IF(1=1, IFERROR(VLOOKUP("06", Config!$J$2:$K$9, 2, 0),""), IFERROR(VLOOKUP("", Config!$J$2:$K$9, 2, 0),""))</f>
      </c>
      <c r="AA4" s="6" t="s">
        <v>131</v>
      </c>
      <c r="AB4" s="6">
        <f>IFERROR(VLOOKUP("", CONFIG!$M$2:$N$8, 2, 0),"")</f>
      </c>
      <c r="AC4" s="6">
        <f>IF(0=0, "", "0 tháng")</f>
      </c>
      <c r="AD4" s="6">
        <f>IFERROR(VLOOKUP("1", CONFIG!$D$2:$E$8, 2, 0),"")</f>
      </c>
      <c r="AE4" s="6" t="s">
        <v>139</v>
      </c>
      <c r="AF4" s="6" t="s">
        <v>120</v>
      </c>
      <c r="AG4" s="6" t="s">
        <v>108</v>
      </c>
      <c r="AH4" s="6" t="s">
        <v>94</v>
      </c>
    </row>
    <row r="5">
      <c r="A5" s="5">
        <f>ROW()-ROW(A3)</f>
      </c>
      <c r="B5" s="6" t="s">
        <v>143</v>
      </c>
      <c r="C5" s="6" t="n">
        <v>800224639</v>
      </c>
      <c r="D5" s="6" t="s">
        <v>103</v>
      </c>
      <c r="E5" s="6" t="s">
        <v>105</v>
      </c>
      <c r="F5" s="6" t="s">
        <v>106</v>
      </c>
      <c r="G5" s="6" t="s">
        <v>148</v>
      </c>
      <c r="H5" s="6" t="s">
        <v>108</v>
      </c>
      <c r="I5" s="6" t="s">
        <v>108</v>
      </c>
      <c r="J5" s="6" t="s">
        <v>150</v>
      </c>
      <c r="K5" s="6" t="s">
        <v>108</v>
      </c>
      <c r="L5" s="6" t="s">
        <v>152</v>
      </c>
      <c r="M5" s="6" t="s">
        <v>153</v>
      </c>
      <c r="N5" s="6" t="s">
        <v>154</v>
      </c>
      <c r="O5" s="6"/>
      <c r="P5" s="6"/>
      <c r="Q5" s="7" t="n">
        <v>19865000</v>
      </c>
      <c r="R5" s="7" t="n">
        <v>19865000</v>
      </c>
      <c r="S5" s="6" t="s">
        <v>156</v>
      </c>
      <c r="T5" s="6" t="s">
        <v>120</v>
      </c>
      <c r="U5" s="6" t="s">
        <v>121</v>
      </c>
      <c r="V5" s="6">
        <f>VLOOKUP("02", CONFIG!$G$2:$H$24, 2, 0)</f>
      </c>
      <c r="W5" s="6"/>
      <c r="X5" s="6">
        <f>IFERROR(VLOOKUP("09", CONFIG!$S$2:$T$12, 2, 0),"")</f>
      </c>
      <c r="Y5" s="6">
        <f>IFERROR(VLOOKUP("1", CONFIG!$A$2:$B$5, 2, 0),"")</f>
      </c>
      <c r="Z5" s="6">
        <f>IF(1=1, IFERROR(VLOOKUP("06", Config!$J$2:$K$9, 2, 0),""), IFERROR(VLOOKUP("", Config!$J$2:$K$9, 2, 0),""))</f>
      </c>
      <c r="AA5" s="6" t="s">
        <v>131</v>
      </c>
      <c r="AB5" s="6">
        <f>IFERROR(VLOOKUP("", CONFIG!$M$2:$N$8, 2, 0),"")</f>
      </c>
      <c r="AC5" s="6">
        <f>IF(0=0, "", "0 tháng")</f>
      </c>
      <c r="AD5" s="6">
        <f>IFERROR(VLOOKUP("1", CONFIG!$D$2:$E$8, 2, 0),"")</f>
      </c>
      <c r="AE5" s="6" t="s">
        <v>161</v>
      </c>
      <c r="AF5" s="6" t="s">
        <v>120</v>
      </c>
      <c r="AG5" s="6" t="s">
        <v>108</v>
      </c>
      <c r="AH5" s="6" t="s">
        <v>94</v>
      </c>
    </row>
    <row r="6">
      <c r="A6" s="5">
        <f>ROW()-ROW(A3)</f>
      </c>
      <c r="B6" s="6" t="s">
        <v>162</v>
      </c>
      <c r="C6" s="6" t="n">
        <v>800097735</v>
      </c>
      <c r="D6" s="6" t="s">
        <v>103</v>
      </c>
      <c r="E6" s="6" t="s">
        <v>105</v>
      </c>
      <c r="F6" s="6" t="s">
        <v>106</v>
      </c>
      <c r="G6" s="6" t="s">
        <v>163</v>
      </c>
      <c r="H6" s="6" t="s">
        <v>108</v>
      </c>
      <c r="I6" s="6" t="s">
        <v>108</v>
      </c>
      <c r="J6" s="6" t="s">
        <v>164</v>
      </c>
      <c r="K6" s="6" t="s">
        <v>108</v>
      </c>
      <c r="L6" s="6" t="s">
        <v>165</v>
      </c>
      <c r="M6" s="6" t="s">
        <v>166</v>
      </c>
      <c r="N6" s="6" t="s">
        <v>167</v>
      </c>
      <c r="O6" s="6"/>
      <c r="P6" s="6"/>
      <c r="Q6" s="7" t="n">
        <v>10002000</v>
      </c>
      <c r="R6" s="7" t="n">
        <v>10002000</v>
      </c>
      <c r="S6" s="6" t="s">
        <v>168</v>
      </c>
      <c r="T6" s="6" t="s">
        <v>120</v>
      </c>
      <c r="U6" s="6" t="s">
        <v>121</v>
      </c>
      <c r="V6" s="6">
        <f>VLOOKUP("02", CONFIG!$G$2:$H$24, 2, 0)</f>
      </c>
      <c r="W6" s="6"/>
      <c r="X6" s="6">
        <f>IFERROR(VLOOKUP("09", CONFIG!$S$2:$T$12, 2, 0),"")</f>
      </c>
      <c r="Y6" s="6">
        <f>IFERROR(VLOOKUP("1", CONFIG!$A$2:$B$5, 2, 0),"")</f>
      </c>
      <c r="Z6" s="6">
        <f>IF(1=1, IFERROR(VLOOKUP("06", Config!$J$2:$K$9, 2, 0),""), IFERROR(VLOOKUP("", Config!$J$2:$K$9, 2, 0),""))</f>
      </c>
      <c r="AA6" s="6" t="s">
        <v>131</v>
      </c>
      <c r="AB6" s="6">
        <f>IFERROR(VLOOKUP("", CONFIG!$M$2:$N$8, 2, 0),"")</f>
      </c>
      <c r="AC6" s="6">
        <f>IF(0=0, "", "0 tháng")</f>
      </c>
      <c r="AD6" s="6">
        <f>IFERROR(VLOOKUP("1", CONFIG!$D$2:$E$8, 2, 0),"")</f>
      </c>
      <c r="AE6" s="6" t="s">
        <v>169</v>
      </c>
      <c r="AF6" s="6" t="s">
        <v>120</v>
      </c>
      <c r="AG6" s="6" t="s">
        <v>108</v>
      </c>
      <c r="AH6" s="6" t="s">
        <v>94</v>
      </c>
    </row>
  </sheetData>
  <mergeCells>
    <mergeCell ref="A1:D1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2025-11-14T08:32:50.252Z</dcterms:created>
  <dc:creator>Application</dc:creator>
</cp:coreProperties>
</file>